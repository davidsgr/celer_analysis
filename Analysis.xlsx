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qe/Codes/celeritas/analysis/celer_analysis/"/>
    </mc:Choice>
  </mc:AlternateContent>
  <xr:revisionPtr revIDLastSave="0" documentId="13_ncr:1_{754DAB99-1EEA-314D-B189-92C1CD16F1CC}" xr6:coauthVersionLast="47" xr6:coauthVersionMax="47" xr10:uidLastSave="{00000000-0000-0000-0000-000000000000}"/>
  <bookViews>
    <workbookView xWindow="55460" yWindow="1100" windowWidth="47520" windowHeight="26040" xr2:uid="{18F4029D-343F-3648-AF31-0004853598C3}"/>
  </bookViews>
  <sheets>
    <sheet name="Summary_Results" sheetId="1" r:id="rId1"/>
    <sheet name="Trackslot_Xorwow" sheetId="2" r:id="rId2"/>
    <sheet name="Trackslot_Ranluxpp" sheetId="3" r:id="rId3"/>
    <sheet name="Track_Xorwow" sheetId="4" r:id="rId4"/>
    <sheet name="Track_Ranluxpp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N6" i="1" l="1"/>
  <c r="AM6" i="1"/>
  <c r="AK6" i="1"/>
  <c r="AJ6" i="1"/>
  <c r="AH6" i="1"/>
  <c r="AG6" i="1"/>
  <c r="AE6" i="1"/>
  <c r="AD6" i="1"/>
  <c r="AB6" i="1"/>
  <c r="AA6" i="1"/>
  <c r="Y6" i="1"/>
  <c r="X6" i="1"/>
  <c r="V6" i="1"/>
  <c r="U6" i="1"/>
  <c r="S6" i="1"/>
  <c r="R6" i="1"/>
  <c r="P6" i="1"/>
  <c r="O6" i="1"/>
  <c r="M6" i="1"/>
  <c r="L6" i="1"/>
  <c r="J6" i="1"/>
  <c r="I6" i="1"/>
  <c r="G6" i="1"/>
  <c r="F6" i="1"/>
  <c r="D6" i="1"/>
  <c r="AO5" i="1"/>
  <c r="AO4" i="1"/>
  <c r="AL5" i="1"/>
  <c r="AL4" i="1"/>
  <c r="AI5" i="1"/>
  <c r="AI4" i="1"/>
  <c r="AF5" i="1"/>
  <c r="AF4" i="1"/>
  <c r="AC5" i="1"/>
  <c r="AC4" i="1"/>
  <c r="Z5" i="1"/>
  <c r="Z4" i="1"/>
  <c r="W5" i="1"/>
  <c r="W4" i="1"/>
  <c r="T5" i="1"/>
  <c r="T4" i="1"/>
  <c r="Q5" i="1"/>
  <c r="Q4" i="1"/>
  <c r="N5" i="1"/>
  <c r="N4" i="1"/>
  <c r="K5" i="1"/>
  <c r="K4" i="1"/>
  <c r="H5" i="1"/>
  <c r="H4" i="1"/>
  <c r="C6" i="1"/>
  <c r="E5" i="1"/>
  <c r="E4" i="1"/>
  <c r="Q26" i="1"/>
  <c r="Q25" i="1"/>
  <c r="N26" i="1"/>
  <c r="N25" i="1"/>
  <c r="K26" i="1"/>
  <c r="K25" i="1"/>
  <c r="H26" i="1"/>
  <c r="H25" i="1"/>
  <c r="E26" i="1"/>
  <c r="E25" i="1"/>
  <c r="P27" i="1"/>
  <c r="O27" i="1"/>
  <c r="M27" i="1"/>
  <c r="L27" i="1"/>
  <c r="J27" i="1"/>
  <c r="I27" i="1"/>
  <c r="G27" i="1"/>
  <c r="F27" i="1"/>
  <c r="D27" i="1"/>
  <c r="C27" i="1"/>
</calcChain>
</file>

<file path=xl/sharedStrings.xml><?xml version="1.0" encoding="utf-8"?>
<sst xmlns="http://schemas.openxmlformats.org/spreadsheetml/2006/main" count="196" uniqueCount="37">
  <si>
    <t>Branch</t>
  </si>
  <si>
    <t>Commit</t>
  </si>
  <si>
    <t>Dune</t>
  </si>
  <si>
    <t>cbcaa74b6144045330ea7e34a78c81eb4d02b667</t>
  </si>
  <si>
    <t>develop</t>
  </si>
  <si>
    <t>absorption</t>
  </si>
  <si>
    <t>along-step</t>
  </si>
  <si>
    <t>locate-vacancies</t>
  </si>
  <si>
    <t>optical-boundary-init</t>
  </si>
  <si>
    <t>optical-boundary-post</t>
  </si>
  <si>
    <t>optical-discrete-select</t>
  </si>
  <si>
    <t>optical-rayleigh</t>
  </si>
  <si>
    <t>optical-surface-stepping</t>
  </si>
  <si>
    <t>pre-step</t>
  </si>
  <si>
    <t>primary-generate</t>
  </si>
  <si>
    <t>tracking-cut</t>
  </si>
  <si>
    <t>setup</t>
  </si>
  <si>
    <t>total</t>
  </si>
  <si>
    <t>XORWOW</t>
  </si>
  <si>
    <t>Ranlux++</t>
  </si>
  <si>
    <t>Run</t>
  </si>
  <si>
    <t>Average</t>
  </si>
  <si>
    <t xml:space="preserve">Average </t>
  </si>
  <si>
    <t>Rel Diff (%)</t>
  </si>
  <si>
    <t>Trackslot reseeding</t>
  </si>
  <si>
    <t>Track reseeding</t>
  </si>
  <si>
    <t>Atlas</t>
  </si>
  <si>
    <t>run</t>
  </si>
  <si>
    <t>along-step-neutral</t>
  </si>
  <si>
    <t>along-step-uniform-msc</t>
  </si>
  <si>
    <t>initialize-tracks</t>
  </si>
  <si>
    <t>6a97cc5300474f5feb5c4258abe22a77519818dc</t>
  </si>
  <si>
    <t>boundary-init</t>
  </si>
  <si>
    <t>boundary-post</t>
  </si>
  <si>
    <t>discrete-select</t>
  </si>
  <si>
    <t>rayleigh</t>
  </si>
  <si>
    <t>surface-physics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</si>
</sst>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500"/>
      <color rgb="FFFF00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848BA-D8C3-7041-A0EE-B663A4811CD2}">
  <dimension ref="A1:AO27"/>
  <sheetViews>
    <sheetView tabSelected="1" zoomScale="150" zoomScaleNormal="150" workbookViewId="0">
      <selection activeCell="D15" sqref="D15"/>
    </sheetView>
  </sheetViews>
  <sheetFormatPr baseColWidth="10" defaultRowHeight="16" x14ac:dyDescent="0.2"/>
  <cols>
    <col min="2" max="2" width="22.33203125" customWidth="1"/>
    <col min="3" max="3" width="9.83203125" bestFit="1" customWidth="1"/>
    <col min="4" max="4" width="9.83203125" customWidth="1"/>
  </cols>
  <sheetData>
    <row r="1" spans="1:41" x14ac:dyDescent="0.2">
      <c r="A1" s="1" t="s">
        <v>0</v>
      </c>
      <c r="B1" s="1" t="s">
        <v>1</v>
      </c>
      <c r="C1" s="4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2">
      <c r="A2" t="s">
        <v>4</v>
      </c>
      <c r="B2" t="s">
        <v>31</v>
      </c>
      <c r="C2" s="4" t="s">
        <v>5</v>
      </c>
      <c r="D2" s="4"/>
      <c r="E2" s="4"/>
      <c r="F2" s="4" t="s">
        <v>6</v>
      </c>
      <c r="G2" s="4"/>
      <c r="H2" s="4"/>
      <c r="I2" s="4" t="s">
        <v>32</v>
      </c>
      <c r="J2" s="4"/>
      <c r="K2" s="4"/>
      <c r="L2" s="4" t="s">
        <v>33</v>
      </c>
      <c r="M2" s="4"/>
      <c r="N2" s="4"/>
      <c r="O2" s="4" t="s">
        <v>34</v>
      </c>
      <c r="P2" s="4"/>
      <c r="Q2" s="4"/>
      <c r="R2" s="4" t="s">
        <v>7</v>
      </c>
      <c r="S2" s="4"/>
      <c r="T2" s="4"/>
      <c r="U2" s="4" t="s">
        <v>13</v>
      </c>
      <c r="V2" s="4"/>
      <c r="W2" s="4"/>
      <c r="X2" s="4" t="s">
        <v>14</v>
      </c>
      <c r="Y2" s="4"/>
      <c r="Z2" s="4"/>
      <c r="AA2" s="4" t="s">
        <v>35</v>
      </c>
      <c r="AB2" s="4"/>
      <c r="AC2" s="4"/>
      <c r="AD2" s="4" t="s">
        <v>36</v>
      </c>
      <c r="AE2" s="4"/>
      <c r="AF2" s="4"/>
      <c r="AG2" s="4" t="s">
        <v>15</v>
      </c>
      <c r="AH2" s="4"/>
      <c r="AI2" s="4"/>
      <c r="AJ2" s="4" t="s">
        <v>16</v>
      </c>
      <c r="AK2" s="4"/>
      <c r="AL2" s="4"/>
      <c r="AM2" s="4" t="s">
        <v>17</v>
      </c>
      <c r="AN2" s="4"/>
      <c r="AO2" s="4"/>
    </row>
    <row r="3" spans="1:41" x14ac:dyDescent="0.2">
      <c r="C3" t="s">
        <v>18</v>
      </c>
      <c r="D3" t="s">
        <v>19</v>
      </c>
      <c r="E3" t="s">
        <v>23</v>
      </c>
      <c r="F3" t="s">
        <v>18</v>
      </c>
      <c r="G3" t="s">
        <v>19</v>
      </c>
      <c r="H3" t="s">
        <v>23</v>
      </c>
      <c r="I3" t="s">
        <v>18</v>
      </c>
      <c r="J3" t="s">
        <v>19</v>
      </c>
      <c r="K3" t="s">
        <v>23</v>
      </c>
      <c r="L3" t="s">
        <v>18</v>
      </c>
      <c r="M3" t="s">
        <v>19</v>
      </c>
      <c r="N3" t="s">
        <v>23</v>
      </c>
      <c r="O3" t="s">
        <v>18</v>
      </c>
      <c r="P3" t="s">
        <v>19</v>
      </c>
      <c r="Q3" t="s">
        <v>23</v>
      </c>
      <c r="R3" t="s">
        <v>18</v>
      </c>
      <c r="S3" t="s">
        <v>19</v>
      </c>
      <c r="T3" t="s">
        <v>23</v>
      </c>
      <c r="U3" t="s">
        <v>18</v>
      </c>
      <c r="V3" t="s">
        <v>19</v>
      </c>
      <c r="W3" t="s">
        <v>23</v>
      </c>
      <c r="X3" t="s">
        <v>18</v>
      </c>
      <c r="Y3" t="s">
        <v>19</v>
      </c>
      <c r="Z3" t="s">
        <v>23</v>
      </c>
      <c r="AA3" t="s">
        <v>18</v>
      </c>
      <c r="AB3" t="s">
        <v>19</v>
      </c>
      <c r="AC3" t="s">
        <v>23</v>
      </c>
      <c r="AD3" t="s">
        <v>18</v>
      </c>
      <c r="AE3" t="s">
        <v>19</v>
      </c>
      <c r="AF3" t="s">
        <v>23</v>
      </c>
      <c r="AG3" t="s">
        <v>18</v>
      </c>
      <c r="AH3" t="s">
        <v>19</v>
      </c>
      <c r="AI3" t="s">
        <v>23</v>
      </c>
      <c r="AJ3" t="s">
        <v>18</v>
      </c>
      <c r="AK3" t="s">
        <v>19</v>
      </c>
      <c r="AL3" t="s">
        <v>23</v>
      </c>
      <c r="AM3" t="s">
        <v>18</v>
      </c>
      <c r="AN3" t="s">
        <v>19</v>
      </c>
      <c r="AO3" t="s">
        <v>23</v>
      </c>
    </row>
    <row r="4" spans="1:41" x14ac:dyDescent="0.2">
      <c r="B4" s="1" t="s">
        <v>24</v>
      </c>
      <c r="C4">
        <v>2.5502058000000001E-2</v>
      </c>
      <c r="D4" s="2">
        <v>2.5704619599999898E-2</v>
      </c>
      <c r="E4">
        <f>(ABS(D4-C4)/C4)*100</f>
        <v>0.79429511139805808</v>
      </c>
      <c r="F4">
        <v>10.099553321999901</v>
      </c>
      <c r="G4" s="2">
        <v>10.0925216713</v>
      </c>
      <c r="H4">
        <f>(ABS(G4-F4)/F4)*100</f>
        <v>6.9623383091443877E-2</v>
      </c>
      <c r="I4">
        <v>2.330985192</v>
      </c>
      <c r="J4" s="2">
        <v>2.3349653803999901</v>
      </c>
      <c r="K4">
        <f>(ABS(J4-I4)/I4)*100</f>
        <v>0.17075133783132793</v>
      </c>
      <c r="L4">
        <v>7.1190351000000096E-2</v>
      </c>
      <c r="M4" s="2">
        <v>6.9502298399999898E-2</v>
      </c>
      <c r="N4">
        <f>(ABS(M4-L4)/L4)*100</f>
        <v>2.3711817350081552</v>
      </c>
      <c r="O4">
        <v>0.105847889</v>
      </c>
      <c r="P4" s="2">
        <v>0.58595583539999996</v>
      </c>
      <c r="Q4">
        <f>(ABS(P4-O4)/O4)*100</f>
        <v>453.58292067591447</v>
      </c>
      <c r="R4">
        <v>0.116869266999999</v>
      </c>
      <c r="S4" s="2">
        <v>0.1196328408</v>
      </c>
      <c r="T4">
        <f>(ABS(S4-R4)/R4)*100</f>
        <v>2.3646711158041445</v>
      </c>
      <c r="U4">
        <v>0.195518261</v>
      </c>
      <c r="V4" s="2">
        <v>0.67183863479999895</v>
      </c>
      <c r="W4">
        <f>(ABS(V4-U4)/U4)*100</f>
        <v>243.61937926606197</v>
      </c>
      <c r="X4">
        <v>1.9271281440000001</v>
      </c>
      <c r="Y4" s="2">
        <v>5.028672587</v>
      </c>
      <c r="Z4">
        <f>(ABS(Y4-X4)/X4)*100</f>
        <v>160.94126655025386</v>
      </c>
      <c r="AA4">
        <v>0.209259116999999</v>
      </c>
      <c r="AB4" s="2">
        <v>9.9499744934999903</v>
      </c>
      <c r="AC4">
        <f>(ABS(AB4-AA4)/AA4)*100</f>
        <v>4654.8583001523602</v>
      </c>
      <c r="AD4">
        <v>0.29808918699999898</v>
      </c>
      <c r="AE4" s="2">
        <v>0.37503557399999898</v>
      </c>
      <c r="AF4">
        <f>(ABS(AE4-AD4)/AD4)*100</f>
        <v>25.813209722364157</v>
      </c>
      <c r="AG4">
        <v>2.4367838999999999E-2</v>
      </c>
      <c r="AH4" s="2">
        <v>2.3758901599999899E-2</v>
      </c>
      <c r="AI4">
        <f>(ABS(AH4-AG4)/AG4)*100</f>
        <v>2.4989388677432558</v>
      </c>
      <c r="AJ4">
        <v>0.61301483700000003</v>
      </c>
      <c r="AK4" s="2">
        <v>0.58678082080000005</v>
      </c>
      <c r="AL4">
        <f>(ABS(AK4-AJ4)/AJ4)*100</f>
        <v>4.2795075447741544</v>
      </c>
      <c r="AM4">
        <v>15.422933222999999</v>
      </c>
      <c r="AN4" s="2">
        <v>29.295764520799999</v>
      </c>
      <c r="AO4">
        <f>(ABS(AN4-AM4)/AM4)*100</f>
        <v>89.949370182784989</v>
      </c>
    </row>
    <row r="5" spans="1:41" x14ac:dyDescent="0.2">
      <c r="B5" s="1" t="s">
        <v>25</v>
      </c>
      <c r="C5" s="2">
        <v>2.5521457199999899E-2</v>
      </c>
      <c r="D5" s="2">
        <v>2.5699852099999899E-2</v>
      </c>
      <c r="E5">
        <f>(ABS(D5-C5)/C5)*100</f>
        <v>0.69899966370259103</v>
      </c>
      <c r="F5" s="2">
        <v>10.0991415404999</v>
      </c>
      <c r="G5" s="2">
        <v>10.0941187058999</v>
      </c>
      <c r="H5">
        <f>(ABS(G5-F5)/F5)*100</f>
        <v>4.97352629414822E-2</v>
      </c>
      <c r="I5" s="2">
        <v>2.3305051410000002</v>
      </c>
      <c r="J5" s="2">
        <v>2.3350911164999899</v>
      </c>
      <c r="K5">
        <f>(ABS(J5-I5)/I5)*100</f>
        <v>0.19678032111192567</v>
      </c>
      <c r="L5" s="2">
        <v>7.1178903799999901E-2</v>
      </c>
      <c r="M5" s="2">
        <v>6.9504739900000001E-2</v>
      </c>
      <c r="N5">
        <f>(ABS(M5-L5)/L5)*100</f>
        <v>2.352050692862599</v>
      </c>
      <c r="O5" s="2">
        <v>0.10564063680000001</v>
      </c>
      <c r="P5" s="2">
        <v>0.58601875989999996</v>
      </c>
      <c r="Q5">
        <f>(ABS(P5-O5)/O5)*100</f>
        <v>454.72853785372098</v>
      </c>
      <c r="R5" s="2">
        <v>0.1165891476</v>
      </c>
      <c r="S5" s="2">
        <v>0.11909431970000001</v>
      </c>
      <c r="T5">
        <f>(ABS(S5-R5)/R5)*100</f>
        <v>2.1487180853186101</v>
      </c>
      <c r="U5" s="2">
        <v>0.1954054365</v>
      </c>
      <c r="V5" s="2">
        <v>0.6719217072</v>
      </c>
      <c r="W5">
        <f>(ABS(V5-U5)/U5)*100</f>
        <v>243.86029336496992</v>
      </c>
      <c r="X5" s="2">
        <v>1.9289283071999901</v>
      </c>
      <c r="Y5" s="2">
        <v>5.0273797492999899</v>
      </c>
      <c r="Z5">
        <f>(ABS(Y5-X5)/X5)*100</f>
        <v>160.6307207237617</v>
      </c>
      <c r="AA5" s="2">
        <v>0.2089056393</v>
      </c>
      <c r="AB5" s="2">
        <v>9.9510771030999994</v>
      </c>
      <c r="AC5">
        <f>(ABS(AB5-AA5)/AA5)*100</f>
        <v>4663.4315360964029</v>
      </c>
      <c r="AD5" s="2">
        <v>0.29732985619999902</v>
      </c>
      <c r="AE5" s="2">
        <v>0.37508046959999902</v>
      </c>
      <c r="AF5">
        <f>(ABS(AE5-AD5)/AD5)*100</f>
        <v>26.149615243381756</v>
      </c>
      <c r="AG5" s="2">
        <v>2.4375689799999999E-2</v>
      </c>
      <c r="AH5" s="2">
        <v>2.3737580799999901E-2</v>
      </c>
      <c r="AI5">
        <f>(ABS(AH5-AG5)/AG5)*100</f>
        <v>2.6178089942714093</v>
      </c>
      <c r="AJ5" s="2">
        <v>0.61320205890000001</v>
      </c>
      <c r="AK5" s="2">
        <v>0.60076852670000003</v>
      </c>
      <c r="AL5">
        <f>(ABS(AK5-AJ5)/AJ5)*100</f>
        <v>2.0276403217406069</v>
      </c>
      <c r="AM5" s="2">
        <v>15.422410439199901</v>
      </c>
      <c r="AN5" s="2">
        <v>29.296997711900001</v>
      </c>
      <c r="AO5">
        <f>(ABS(AN5-AM5)/AM5)*100</f>
        <v>89.963805122410562</v>
      </c>
    </row>
    <row r="6" spans="1:41" x14ac:dyDescent="0.2">
      <c r="B6" t="s">
        <v>23</v>
      </c>
      <c r="C6">
        <f>(ABS(C4-C5)/C4)*100</f>
        <v>7.6069154888983442E-2</v>
      </c>
      <c r="D6">
        <f>(ABS(D4-D5)/D4)*100</f>
        <v>1.8547249771395283E-2</v>
      </c>
      <c r="E6" s="5"/>
      <c r="F6">
        <f t="shared" ref="F6:G6" si="0">(ABS(F4-F5)/F4)*100</f>
        <v>4.0772248719499748E-3</v>
      </c>
      <c r="G6">
        <f t="shared" si="0"/>
        <v>1.5823940259069226E-2</v>
      </c>
      <c r="H6" s="5"/>
      <c r="I6">
        <f t="shared" ref="I6:J6" si="1">(ABS(I4-I5)/I4)*100</f>
        <v>2.0594339322590378E-2</v>
      </c>
      <c r="J6">
        <f t="shared" si="1"/>
        <v>5.3849235220024749E-3</v>
      </c>
      <c r="K6" s="5"/>
      <c r="L6">
        <f t="shared" ref="L6:M6" si="2">(ABS(L4-L5)/L4)*100</f>
        <v>1.6079707206661627E-2</v>
      </c>
      <c r="M6">
        <f t="shared" si="2"/>
        <v>3.5128334692636357E-3</v>
      </c>
      <c r="N6" s="5"/>
      <c r="O6">
        <f t="shared" ref="O6:P6" si="3">(ABS(O4-O5)/O4)*100</f>
        <v>0.19580192100004357</v>
      </c>
      <c r="P6">
        <f t="shared" si="3"/>
        <v>1.0738778624339577E-2</v>
      </c>
      <c r="Q6" s="5"/>
      <c r="R6">
        <f t="shared" ref="R6:S6" si="4">(ABS(R4-R5)/R4)*100</f>
        <v>0.23968611012081037</v>
      </c>
      <c r="S6">
        <f t="shared" si="4"/>
        <v>0.45014487359727939</v>
      </c>
      <c r="T6" s="5"/>
      <c r="U6">
        <f t="shared" ref="U6:V6" si="5">(ABS(U4-U5)/U4)*100</f>
        <v>5.770535162441795E-2</v>
      </c>
      <c r="V6">
        <f t="shared" si="5"/>
        <v>1.2364933437592445E-2</v>
      </c>
      <c r="W6" s="5"/>
      <c r="X6">
        <f t="shared" ref="X6:Y6" si="6">(ABS(X4-X5)/X4)*100</f>
        <v>9.3411702049741335E-2</v>
      </c>
      <c r="Y6">
        <f t="shared" si="6"/>
        <v>2.5709323437606749E-2</v>
      </c>
      <c r="Z6" s="5"/>
      <c r="AA6">
        <f t="shared" ref="AA6:AB6" si="7">(ABS(AA4-AA5)/AA4)*100</f>
        <v>0.16891866173696787</v>
      </c>
      <c r="AB6">
        <f t="shared" si="7"/>
        <v>1.1081531924824282E-2</v>
      </c>
      <c r="AC6" s="5"/>
      <c r="AD6">
        <f t="shared" ref="AD6:AE6" si="8">(ABS(AD4-AD5)/AD4)*100</f>
        <v>0.25473275553600011</v>
      </c>
      <c r="AE6">
        <f t="shared" si="8"/>
        <v>1.1971024380753549E-2</v>
      </c>
      <c r="AF6" s="5"/>
      <c r="AG6">
        <f t="shared" ref="AG6:AH6" si="9">(ABS(AG4-AG5)/AG4)*100</f>
        <v>3.2217875372537105E-2</v>
      </c>
      <c r="AH6">
        <f t="shared" si="9"/>
        <v>8.9738155235251485E-2</v>
      </c>
      <c r="AI6" s="5"/>
      <c r="AJ6">
        <f t="shared" ref="AJ6:AK6" si="10">(ABS(AJ4-AJ5)/AJ4)*100</f>
        <v>3.0541169430125657E-2</v>
      </c>
      <c r="AK6">
        <f t="shared" si="10"/>
        <v>2.3838042083464051</v>
      </c>
      <c r="AL6" s="5"/>
      <c r="AM6">
        <f t="shared" ref="AM6:AN6" si="11">(ABS(AM4-AM5)/AM4)*100</f>
        <v>3.3896522311275797E-3</v>
      </c>
      <c r="AN6">
        <f t="shared" si="11"/>
        <v>4.2094518445728313E-3</v>
      </c>
      <c r="AO6" s="5"/>
    </row>
    <row r="10" spans="1:41" x14ac:dyDescent="0.2">
      <c r="R10" s="1"/>
      <c r="S10" s="1"/>
      <c r="T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2" spans="1:41" x14ac:dyDescent="0.2">
      <c r="C12" s="1"/>
      <c r="D12" s="1"/>
      <c r="E12" s="1"/>
      <c r="F12" s="1"/>
      <c r="G12" s="1"/>
      <c r="H12" s="1"/>
      <c r="I12" s="1"/>
      <c r="J12" s="1"/>
      <c r="K12" s="1"/>
      <c r="L12" s="1"/>
    </row>
    <row r="14" spans="1:41" x14ac:dyDescent="0.2">
      <c r="T14" s="2"/>
      <c r="AB14" s="1"/>
      <c r="AC14" s="1"/>
      <c r="AD14" s="1"/>
    </row>
    <row r="19" spans="2:17" x14ac:dyDescent="0.2">
      <c r="C19" s="1"/>
      <c r="D19" s="1"/>
      <c r="E19" s="1"/>
    </row>
    <row r="22" spans="2:17" x14ac:dyDescent="0.2">
      <c r="C22" s="4" t="s">
        <v>26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2:17" x14ac:dyDescent="0.2">
      <c r="C23" s="4" t="s">
        <v>28</v>
      </c>
      <c r="D23" s="4"/>
      <c r="E23" s="4"/>
      <c r="F23" s="4" t="s">
        <v>29</v>
      </c>
      <c r="G23" s="4"/>
      <c r="H23" s="4"/>
      <c r="I23" s="4" t="s">
        <v>30</v>
      </c>
      <c r="J23" s="4"/>
      <c r="K23" s="4"/>
      <c r="L23" s="4" t="s">
        <v>16</v>
      </c>
      <c r="M23" s="4"/>
      <c r="N23" s="4"/>
      <c r="O23" s="4" t="s">
        <v>17</v>
      </c>
      <c r="P23" s="4"/>
      <c r="Q23" s="4"/>
    </row>
    <row r="24" spans="2:17" x14ac:dyDescent="0.2">
      <c r="B24" s="1"/>
      <c r="C24" t="s">
        <v>18</v>
      </c>
      <c r="D24" t="s">
        <v>19</v>
      </c>
      <c r="E24" t="s">
        <v>23</v>
      </c>
      <c r="F24" t="s">
        <v>18</v>
      </c>
      <c r="G24" t="s">
        <v>19</v>
      </c>
      <c r="H24" t="s">
        <v>23</v>
      </c>
      <c r="I24" t="s">
        <v>18</v>
      </c>
      <c r="J24" t="s">
        <v>19</v>
      </c>
      <c r="K24" t="s">
        <v>23</v>
      </c>
      <c r="L24" t="s">
        <v>18</v>
      </c>
      <c r="M24" t="s">
        <v>19</v>
      </c>
      <c r="N24" t="s">
        <v>23</v>
      </c>
      <c r="O24" t="s">
        <v>18</v>
      </c>
      <c r="P24" t="s">
        <v>19</v>
      </c>
      <c r="Q24" t="s">
        <v>23</v>
      </c>
    </row>
    <row r="25" spans="2:17" x14ac:dyDescent="0.2">
      <c r="B25" t="s">
        <v>24</v>
      </c>
      <c r="C25" s="1">
        <v>4.7158911735000002</v>
      </c>
      <c r="D25" s="1">
        <v>4.6291748970000004</v>
      </c>
      <c r="E25">
        <f>((C25-D25)/C25)*100</f>
        <v>1.8388099578566284</v>
      </c>
      <c r="F25" s="1">
        <v>14.966369251</v>
      </c>
      <c r="G25" s="1">
        <v>15.464017373900001</v>
      </c>
      <c r="H25">
        <f>((F25-G25)/F25)*100</f>
        <v>-3.3251092135572562</v>
      </c>
      <c r="I25" s="1">
        <v>1.1035383372000001</v>
      </c>
      <c r="J25" s="1">
        <v>1.1174958406</v>
      </c>
      <c r="K25">
        <f>((I25-J25)/I25)*100</f>
        <v>-1.264795515433943</v>
      </c>
      <c r="L25" s="1">
        <v>45.087971282799998</v>
      </c>
      <c r="M25" s="1">
        <v>44.8257993271</v>
      </c>
      <c r="N25">
        <f>((L25-M25)/L25)*100</f>
        <v>0.5814676248252717</v>
      </c>
      <c r="O25" s="1">
        <v>21.769039145499999</v>
      </c>
      <c r="P25" s="1">
        <v>22.5076772191</v>
      </c>
      <c r="Q25">
        <f>((O25-P25)/O25)*100</f>
        <v>-3.3930669546923422</v>
      </c>
    </row>
    <row r="26" spans="2:17" x14ac:dyDescent="0.2">
      <c r="B26" t="s">
        <v>25</v>
      </c>
      <c r="C26" s="1">
        <v>4.6941893570999902</v>
      </c>
      <c r="D26" s="1">
        <v>4.6335907109000001</v>
      </c>
      <c r="E26">
        <f>((C26-D26)/C26)*100</f>
        <v>1.2909288822858049</v>
      </c>
      <c r="F26" s="1">
        <v>14.3304367599</v>
      </c>
      <c r="G26" s="1">
        <v>15.5303682837</v>
      </c>
      <c r="H26">
        <f>((F26-G26)/F26)*100</f>
        <v>-8.3733074148702595</v>
      </c>
      <c r="I26" s="1">
        <v>1.1054981386</v>
      </c>
      <c r="J26" s="1">
        <v>1.1140971225</v>
      </c>
      <c r="K26">
        <f>((I26-J26)/I26)*100</f>
        <v>-0.77783793565584414</v>
      </c>
      <c r="L26" s="1">
        <v>44.914485792800001</v>
      </c>
      <c r="M26" s="1">
        <v>44.739087787199999</v>
      </c>
      <c r="N26">
        <f>((L26-M26)/L26)*100</f>
        <v>0.39051544842158442</v>
      </c>
      <c r="O26" s="1">
        <v>21.1182229148</v>
      </c>
      <c r="P26" s="1">
        <v>22.523737777600001</v>
      </c>
      <c r="Q26">
        <f>((O26-P26)/O26)*100</f>
        <v>-6.6554599242107271</v>
      </c>
    </row>
    <row r="27" spans="2:17" x14ac:dyDescent="0.2">
      <c r="B27" t="s">
        <v>23</v>
      </c>
      <c r="C27">
        <f>((C25-C26)/C25)*100</f>
        <v>0.46018484315242458</v>
      </c>
      <c r="D27">
        <f>((D25-D26)/D25)*100</f>
        <v>-9.5390949753516641E-2</v>
      </c>
      <c r="F27">
        <f>((F25-F26)/F25)*100</f>
        <v>4.2490765825352694</v>
      </c>
      <c r="G27">
        <f>((G25-G26)/G25)*100</f>
        <v>-0.42906644629089163</v>
      </c>
      <c r="I27">
        <f>((I25-I26)/I25)*100</f>
        <v>-0.17759250711421146</v>
      </c>
      <c r="J27">
        <f>((J25-J26)/J25)*100</f>
        <v>0.30413697989024269</v>
      </c>
      <c r="L27">
        <f>((L25-L26)/L25)*100</f>
        <v>0.38477111536437214</v>
      </c>
      <c r="M27">
        <f>((M25-M26)/M25)*100</f>
        <v>0.19344114595091852</v>
      </c>
      <c r="O27">
        <f>((O25-O26)/O25)*100</f>
        <v>2.9896415103582208</v>
      </c>
      <c r="P27">
        <f>((P25-P26)/P25)*100</f>
        <v>-7.1355912667755608E-2</v>
      </c>
    </row>
  </sheetData>
  <mergeCells count="20">
    <mergeCell ref="C22:Q22"/>
    <mergeCell ref="AM2:AO2"/>
    <mergeCell ref="C1:AO1"/>
    <mergeCell ref="U2:W2"/>
    <mergeCell ref="X2:Z2"/>
    <mergeCell ref="AA2:AC2"/>
    <mergeCell ref="AD2:AF2"/>
    <mergeCell ref="AG2:AI2"/>
    <mergeCell ref="AJ2:AL2"/>
    <mergeCell ref="C2:E2"/>
    <mergeCell ref="F2:H2"/>
    <mergeCell ref="I2:K2"/>
    <mergeCell ref="L2:N2"/>
    <mergeCell ref="O2:Q2"/>
    <mergeCell ref="R2:T2"/>
    <mergeCell ref="C23:E23"/>
    <mergeCell ref="F23:H23"/>
    <mergeCell ref="I23:K23"/>
    <mergeCell ref="L23:N23"/>
    <mergeCell ref="O23:Q23"/>
  </mergeCells>
  <conditionalFormatting sqref="C6:D6">
    <cfRule type="colorScale" priority="101">
      <colorScale>
        <cfvo type="num" val="0"/>
        <cfvo type="num" val="0"/>
        <color rgb="FF92D050"/>
        <color rgb="FFFF0000"/>
      </colorScale>
    </cfRule>
  </conditionalFormatting>
  <conditionalFormatting sqref="C27">
    <cfRule type="colorScale" priority="75">
      <colorScale>
        <cfvo type="num" val="0"/>
        <cfvo type="num" val="0"/>
        <color rgb="FFFF3500"/>
        <color rgb="FF92D050"/>
      </colorScale>
    </cfRule>
  </conditionalFormatting>
  <conditionalFormatting sqref="D27">
    <cfRule type="colorScale" priority="76">
      <colorScale>
        <cfvo type="num" val="0"/>
        <cfvo type="num" val="0"/>
        <color rgb="FFFF0000"/>
        <color rgb="FF92D050"/>
      </colorScale>
    </cfRule>
  </conditionalFormatting>
  <conditionalFormatting sqref="E4:E5">
    <cfRule type="colorScale" priority="150">
      <colorScale>
        <cfvo type="num" val="0"/>
        <cfvo type="num" val="0"/>
        <color rgb="FF92D050"/>
        <color rgb="FFFF0000"/>
      </colorScale>
    </cfRule>
  </conditionalFormatting>
  <conditionalFormatting sqref="E25:E26">
    <cfRule type="colorScale" priority="66">
      <colorScale>
        <cfvo type="num" val="0"/>
        <cfvo type="num" val="0"/>
        <color rgb="FFFF3500"/>
        <color rgb="FF92D050"/>
      </colorScale>
    </cfRule>
  </conditionalFormatting>
  <conditionalFormatting sqref="F27">
    <cfRule type="colorScale" priority="73">
      <colorScale>
        <cfvo type="num" val="0"/>
        <cfvo type="num" val="0"/>
        <color rgb="FFFF3500"/>
        <color rgb="FF92D050"/>
      </colorScale>
    </cfRule>
  </conditionalFormatting>
  <conditionalFormatting sqref="G27">
    <cfRule type="colorScale" priority="74">
      <colorScale>
        <cfvo type="num" val="0"/>
        <cfvo type="num" val="0"/>
        <color rgb="FFFF0000"/>
        <color rgb="FF92D050"/>
      </colorScale>
    </cfRule>
  </conditionalFormatting>
  <conditionalFormatting sqref="H25:H26">
    <cfRule type="colorScale" priority="65">
      <colorScale>
        <cfvo type="num" val="0"/>
        <cfvo type="num" val="0"/>
        <color rgb="FFFF3500"/>
        <color rgb="FF92D050"/>
      </colorScale>
    </cfRule>
  </conditionalFormatting>
  <conditionalFormatting sqref="I27">
    <cfRule type="colorScale" priority="71">
      <colorScale>
        <cfvo type="num" val="0"/>
        <cfvo type="num" val="0"/>
        <color rgb="FFFF3500"/>
        <color rgb="FF92D050"/>
      </colorScale>
    </cfRule>
  </conditionalFormatting>
  <conditionalFormatting sqref="J27">
    <cfRule type="colorScale" priority="72">
      <colorScale>
        <cfvo type="num" val="0"/>
        <cfvo type="num" val="0"/>
        <color rgb="FFFF0000"/>
        <color rgb="FF92D050"/>
      </colorScale>
    </cfRule>
  </conditionalFormatting>
  <conditionalFormatting sqref="K25:K26">
    <cfRule type="colorScale" priority="64">
      <colorScale>
        <cfvo type="num" val="0"/>
        <cfvo type="num" val="0"/>
        <color rgb="FFFF3500"/>
        <color rgb="FF92D050"/>
      </colorScale>
    </cfRule>
  </conditionalFormatting>
  <conditionalFormatting sqref="L27">
    <cfRule type="colorScale" priority="69">
      <colorScale>
        <cfvo type="num" val="0"/>
        <cfvo type="num" val="0"/>
        <color rgb="FFFF3500"/>
        <color rgb="FF92D050"/>
      </colorScale>
    </cfRule>
  </conditionalFormatting>
  <conditionalFormatting sqref="M27">
    <cfRule type="colorScale" priority="70">
      <colorScale>
        <cfvo type="num" val="0"/>
        <cfvo type="num" val="0"/>
        <color rgb="FFFF0000"/>
        <color rgb="FF92D050"/>
      </colorScale>
    </cfRule>
  </conditionalFormatting>
  <conditionalFormatting sqref="N25:N26">
    <cfRule type="colorScale" priority="63">
      <colorScale>
        <cfvo type="num" val="0"/>
        <cfvo type="num" val="0"/>
        <color rgb="FFFF3500"/>
        <color rgb="FF92D050"/>
      </colorScale>
    </cfRule>
  </conditionalFormatting>
  <conditionalFormatting sqref="O27">
    <cfRule type="colorScale" priority="67">
      <colorScale>
        <cfvo type="num" val="0"/>
        <cfvo type="num" val="0"/>
        <color rgb="FFFF3500"/>
        <color rgb="FF92D050"/>
      </colorScale>
    </cfRule>
  </conditionalFormatting>
  <conditionalFormatting sqref="P27">
    <cfRule type="colorScale" priority="68">
      <colorScale>
        <cfvo type="num" val="0"/>
        <cfvo type="num" val="0"/>
        <color rgb="FFFF0000"/>
        <color rgb="FF92D050"/>
      </colorScale>
    </cfRule>
  </conditionalFormatting>
  <conditionalFormatting sqref="Q25:Q26">
    <cfRule type="colorScale" priority="62">
      <colorScale>
        <cfvo type="num" val="0"/>
        <cfvo type="num" val="0"/>
        <color rgb="FFFF3500"/>
        <color rgb="FF92D050"/>
      </colorScale>
    </cfRule>
  </conditionalFormatting>
  <conditionalFormatting sqref="H4:H5">
    <cfRule type="colorScale" priority="24">
      <colorScale>
        <cfvo type="num" val="0"/>
        <cfvo type="num" val="0"/>
        <color rgb="FF92D050"/>
        <color rgb="FFFF0000"/>
      </colorScale>
    </cfRule>
  </conditionalFormatting>
  <conditionalFormatting sqref="K4:K5">
    <cfRule type="colorScale" priority="23">
      <colorScale>
        <cfvo type="num" val="0"/>
        <cfvo type="num" val="0"/>
        <color rgb="FF92D050"/>
        <color rgb="FFFF0000"/>
      </colorScale>
    </cfRule>
  </conditionalFormatting>
  <conditionalFormatting sqref="N4:N5">
    <cfRule type="colorScale" priority="22">
      <colorScale>
        <cfvo type="num" val="0"/>
        <cfvo type="num" val="0"/>
        <color rgb="FF92D050"/>
        <color rgb="FFFF0000"/>
      </colorScale>
    </cfRule>
  </conditionalFormatting>
  <conditionalFormatting sqref="Q4:Q5">
    <cfRule type="colorScale" priority="21">
      <colorScale>
        <cfvo type="num" val="0"/>
        <cfvo type="num" val="0"/>
        <color rgb="FF92D050"/>
        <color rgb="FFFF0000"/>
      </colorScale>
    </cfRule>
  </conditionalFormatting>
  <conditionalFormatting sqref="T4:T5">
    <cfRule type="colorScale" priority="20">
      <colorScale>
        <cfvo type="num" val="0"/>
        <cfvo type="num" val="0"/>
        <color rgb="FF92D050"/>
        <color rgb="FFFF0000"/>
      </colorScale>
    </cfRule>
  </conditionalFormatting>
  <conditionalFormatting sqref="W4:W5">
    <cfRule type="colorScale" priority="19">
      <colorScale>
        <cfvo type="num" val="0"/>
        <cfvo type="num" val="0"/>
        <color rgb="FF92D050"/>
        <color rgb="FFFF0000"/>
      </colorScale>
    </cfRule>
  </conditionalFormatting>
  <conditionalFormatting sqref="Z4:Z5">
    <cfRule type="colorScale" priority="18">
      <colorScale>
        <cfvo type="num" val="0"/>
        <cfvo type="num" val="0"/>
        <color rgb="FF92D050"/>
        <color rgb="FFFF0000"/>
      </colorScale>
    </cfRule>
  </conditionalFormatting>
  <conditionalFormatting sqref="AC4:AC5">
    <cfRule type="colorScale" priority="17">
      <colorScale>
        <cfvo type="num" val="0"/>
        <cfvo type="num" val="0"/>
        <color rgb="FF92D050"/>
        <color rgb="FFFF0000"/>
      </colorScale>
    </cfRule>
  </conditionalFormatting>
  <conditionalFormatting sqref="AF4:AF5">
    <cfRule type="colorScale" priority="16">
      <colorScale>
        <cfvo type="num" val="0"/>
        <cfvo type="num" val="0"/>
        <color rgb="FF92D050"/>
        <color rgb="FFFF0000"/>
      </colorScale>
    </cfRule>
  </conditionalFormatting>
  <conditionalFormatting sqref="AI4:AI5">
    <cfRule type="colorScale" priority="15">
      <colorScale>
        <cfvo type="num" val="0"/>
        <cfvo type="num" val="0"/>
        <color rgb="FF92D050"/>
        <color rgb="FFFF0000"/>
      </colorScale>
    </cfRule>
  </conditionalFormatting>
  <conditionalFormatting sqref="AL4:AL5">
    <cfRule type="colorScale" priority="14">
      <colorScale>
        <cfvo type="num" val="0"/>
        <cfvo type="num" val="0"/>
        <color rgb="FF92D050"/>
        <color rgb="FFFF0000"/>
      </colorScale>
    </cfRule>
  </conditionalFormatting>
  <conditionalFormatting sqref="AO4:AO5">
    <cfRule type="colorScale" priority="13">
      <colorScale>
        <cfvo type="num" val="0"/>
        <cfvo type="num" val="0"/>
        <color rgb="FF92D050"/>
        <color rgb="FFFF0000"/>
      </colorScale>
    </cfRule>
  </conditionalFormatting>
  <conditionalFormatting sqref="F6:G6">
    <cfRule type="colorScale" priority="12">
      <colorScale>
        <cfvo type="num" val="0"/>
        <cfvo type="num" val="0"/>
        <color rgb="FF92D050"/>
        <color rgb="FFFF0000"/>
      </colorScale>
    </cfRule>
  </conditionalFormatting>
  <conditionalFormatting sqref="I6:J6">
    <cfRule type="colorScale" priority="11">
      <colorScale>
        <cfvo type="num" val="0"/>
        <cfvo type="num" val="0"/>
        <color rgb="FF92D050"/>
        <color rgb="FFFF0000"/>
      </colorScale>
    </cfRule>
  </conditionalFormatting>
  <conditionalFormatting sqref="L6:M6">
    <cfRule type="colorScale" priority="10">
      <colorScale>
        <cfvo type="num" val="0"/>
        <cfvo type="num" val="0"/>
        <color rgb="FF92D050"/>
        <color rgb="FFFF0000"/>
      </colorScale>
    </cfRule>
  </conditionalFormatting>
  <conditionalFormatting sqref="O6:P6">
    <cfRule type="colorScale" priority="9">
      <colorScale>
        <cfvo type="num" val="0"/>
        <cfvo type="num" val="0"/>
        <color rgb="FF92D050"/>
        <color rgb="FFFF0000"/>
      </colorScale>
    </cfRule>
  </conditionalFormatting>
  <conditionalFormatting sqref="R6:S6">
    <cfRule type="colorScale" priority="8">
      <colorScale>
        <cfvo type="num" val="0"/>
        <cfvo type="num" val="0"/>
        <color rgb="FF92D050"/>
        <color rgb="FFFF0000"/>
      </colorScale>
    </cfRule>
  </conditionalFormatting>
  <conditionalFormatting sqref="U6:V6">
    <cfRule type="colorScale" priority="7">
      <colorScale>
        <cfvo type="num" val="0"/>
        <cfvo type="num" val="0"/>
        <color rgb="FF92D050"/>
        <color rgb="FFFF0000"/>
      </colorScale>
    </cfRule>
  </conditionalFormatting>
  <conditionalFormatting sqref="X6:Y6">
    <cfRule type="colorScale" priority="6">
      <colorScale>
        <cfvo type="num" val="0"/>
        <cfvo type="num" val="0"/>
        <color rgb="FF92D050"/>
        <color rgb="FFFF0000"/>
      </colorScale>
    </cfRule>
  </conditionalFormatting>
  <conditionalFormatting sqref="AA6:AB6">
    <cfRule type="colorScale" priority="5">
      <colorScale>
        <cfvo type="num" val="0"/>
        <cfvo type="num" val="0"/>
        <color rgb="FF92D050"/>
        <color rgb="FFFF0000"/>
      </colorScale>
    </cfRule>
  </conditionalFormatting>
  <conditionalFormatting sqref="AD6:AE6">
    <cfRule type="colorScale" priority="4">
      <colorScale>
        <cfvo type="num" val="0"/>
        <cfvo type="num" val="0"/>
        <color rgb="FF92D050"/>
        <color rgb="FFFF0000"/>
      </colorScale>
    </cfRule>
  </conditionalFormatting>
  <conditionalFormatting sqref="AG6:AH6">
    <cfRule type="colorScale" priority="3">
      <colorScale>
        <cfvo type="num" val="0"/>
        <cfvo type="num" val="0"/>
        <color rgb="FF92D050"/>
        <color rgb="FFFF0000"/>
      </colorScale>
    </cfRule>
  </conditionalFormatting>
  <conditionalFormatting sqref="AJ6:AK6">
    <cfRule type="colorScale" priority="2">
      <colorScale>
        <cfvo type="num" val="0"/>
        <cfvo type="num" val="0"/>
        <color rgb="FF92D050"/>
        <color rgb="FFFF0000"/>
      </colorScale>
    </cfRule>
  </conditionalFormatting>
  <conditionalFormatting sqref="AM6:AN6">
    <cfRule type="colorScale" priority="1">
      <colorScale>
        <cfvo type="num" val="0"/>
        <cfvo type="num" val="0"/>
        <color rgb="FF92D050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0E2C0-8C68-E84F-BBAA-6A32D2F1D90D}">
  <dimension ref="A1:W30"/>
  <sheetViews>
    <sheetView workbookViewId="0">
      <selection activeCell="J29" sqref="J29"/>
    </sheetView>
  </sheetViews>
  <sheetFormatPr baseColWidth="10" defaultRowHeight="16" x14ac:dyDescent="0.2"/>
  <cols>
    <col min="2" max="2" width="10.1640625" customWidth="1"/>
    <col min="3" max="3" width="16.6640625" bestFit="1" customWidth="1"/>
    <col min="4" max="4" width="21.83203125" bestFit="1" customWidth="1"/>
    <col min="5" max="5" width="14.1640625" bestFit="1" customWidth="1"/>
    <col min="6" max="6" width="13" bestFit="1" customWidth="1"/>
    <col min="7" max="7" width="13.83203125" bestFit="1" customWidth="1"/>
    <col min="8" max="8" width="15.33203125" bestFit="1" customWidth="1"/>
    <col min="9" max="9" width="12.1640625" bestFit="1" customWidth="1"/>
    <col min="10" max="10" width="15.5" bestFit="1" customWidth="1"/>
    <col min="11" max="11" width="12.1640625" bestFit="1" customWidth="1"/>
    <col min="12" max="12" width="14.5" bestFit="1" customWidth="1"/>
    <col min="13" max="15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27</v>
      </c>
      <c r="C4" s="1" t="s">
        <v>5</v>
      </c>
      <c r="D4" s="1" t="s">
        <v>6</v>
      </c>
      <c r="E4" s="1" t="s">
        <v>32</v>
      </c>
      <c r="F4" s="1" t="s">
        <v>33</v>
      </c>
      <c r="G4" s="1" t="s">
        <v>34</v>
      </c>
      <c r="H4" s="1" t="s">
        <v>7</v>
      </c>
      <c r="I4" s="1" t="s">
        <v>13</v>
      </c>
      <c r="J4" s="1" t="s">
        <v>14</v>
      </c>
      <c r="K4" s="1" t="s">
        <v>35</v>
      </c>
      <c r="L4" s="1" t="s">
        <v>36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2.5442388999999899E-2</v>
      </c>
      <c r="D5">
        <v>10.0966351579999</v>
      </c>
      <c r="E5">
        <v>2.3308504699999899</v>
      </c>
      <c r="F5">
        <v>7.1160886000000104E-2</v>
      </c>
      <c r="G5">
        <v>0.10534255199999901</v>
      </c>
      <c r="H5">
        <v>0.11671878500000001</v>
      </c>
      <c r="I5">
        <v>0.19536178500000001</v>
      </c>
      <c r="J5">
        <v>1.9308818759999899</v>
      </c>
      <c r="K5">
        <v>0.20881275799999899</v>
      </c>
      <c r="L5">
        <v>0.29738986399999801</v>
      </c>
      <c r="M5">
        <v>2.4405590000000001E-2</v>
      </c>
      <c r="N5">
        <v>0.61840965299999995</v>
      </c>
      <c r="O5">
        <v>15.421738940999999</v>
      </c>
    </row>
    <row r="6" spans="1:15" x14ac:dyDescent="0.2">
      <c r="B6">
        <v>1</v>
      </c>
      <c r="C6">
        <v>2.5527887999999901E-2</v>
      </c>
      <c r="D6">
        <v>10.099466587</v>
      </c>
      <c r="E6">
        <v>2.3298336310000001</v>
      </c>
      <c r="F6">
        <v>7.1114231000000194E-2</v>
      </c>
      <c r="G6">
        <v>0.105502281</v>
      </c>
      <c r="H6">
        <v>0.11693131</v>
      </c>
      <c r="I6">
        <v>0.19548254899999901</v>
      </c>
      <c r="J6">
        <v>1.9275563</v>
      </c>
      <c r="K6">
        <v>0.208805876</v>
      </c>
      <c r="L6">
        <v>0.29737015900000002</v>
      </c>
      <c r="M6">
        <v>2.43905029999999E-2</v>
      </c>
      <c r="N6">
        <v>0.60543443500000005</v>
      </c>
      <c r="O6">
        <v>15.420494411</v>
      </c>
    </row>
    <row r="7" spans="1:15" x14ac:dyDescent="0.2">
      <c r="B7">
        <v>2</v>
      </c>
      <c r="C7">
        <v>2.5385048999999899E-2</v>
      </c>
      <c r="D7">
        <v>10.0960650269999</v>
      </c>
      <c r="E7">
        <v>2.3300957509999898</v>
      </c>
      <c r="F7">
        <v>7.1090112999999802E-2</v>
      </c>
      <c r="G7">
        <v>0.105297339</v>
      </c>
      <c r="H7">
        <v>0.115763148</v>
      </c>
      <c r="I7">
        <v>0.194802856</v>
      </c>
      <c r="J7">
        <v>1.930564739</v>
      </c>
      <c r="K7">
        <v>0.20860229199999999</v>
      </c>
      <c r="L7">
        <v>0.29655467600000002</v>
      </c>
      <c r="M7">
        <v>2.4209992999999999E-2</v>
      </c>
      <c r="N7">
        <v>0.61446489999999998</v>
      </c>
      <c r="O7">
        <v>15.417055752</v>
      </c>
    </row>
    <row r="8" spans="1:15" x14ac:dyDescent="0.2">
      <c r="B8">
        <v>3</v>
      </c>
      <c r="C8">
        <v>2.6101022000000001E-2</v>
      </c>
      <c r="D8">
        <v>10.098430702</v>
      </c>
      <c r="E8">
        <v>2.3316661330000001</v>
      </c>
      <c r="F8">
        <v>7.1733575000000105E-2</v>
      </c>
      <c r="G8">
        <v>0.105952269</v>
      </c>
      <c r="H8">
        <v>0.11880186199999999</v>
      </c>
      <c r="I8">
        <v>0.19629432499999899</v>
      </c>
      <c r="J8">
        <v>1.9334173370000001</v>
      </c>
      <c r="K8">
        <v>0.20952352299999899</v>
      </c>
      <c r="L8">
        <v>0.30171195399999901</v>
      </c>
      <c r="M8">
        <v>2.4924894999999999E-2</v>
      </c>
      <c r="N8">
        <v>0.60585072799999995</v>
      </c>
      <c r="O8">
        <v>15.437552728</v>
      </c>
    </row>
    <row r="9" spans="1:15" x14ac:dyDescent="0.2">
      <c r="B9">
        <v>4</v>
      </c>
      <c r="C9">
        <v>2.5467621999999902E-2</v>
      </c>
      <c r="D9">
        <v>10.097089739999999</v>
      </c>
      <c r="E9">
        <v>2.33055346</v>
      </c>
      <c r="F9">
        <v>7.1005021000000099E-2</v>
      </c>
      <c r="G9">
        <v>0.105564771</v>
      </c>
      <c r="H9">
        <v>0.116066537</v>
      </c>
      <c r="I9">
        <v>0.19509827699999899</v>
      </c>
      <c r="J9">
        <v>1.9262916639999901</v>
      </c>
      <c r="K9">
        <v>0.20904875099999901</v>
      </c>
      <c r="L9">
        <v>0.29693615399999901</v>
      </c>
      <c r="M9">
        <v>2.4270594E-2</v>
      </c>
      <c r="N9">
        <v>0.61751658399999998</v>
      </c>
      <c r="O9">
        <v>15.415884576</v>
      </c>
    </row>
    <row r="10" spans="1:15" x14ac:dyDescent="0.2">
      <c r="B10">
        <v>5</v>
      </c>
      <c r="C10">
        <v>2.5504596000000001E-2</v>
      </c>
      <c r="D10">
        <v>10.100004812</v>
      </c>
      <c r="E10">
        <v>2.3292280779999999</v>
      </c>
      <c r="F10">
        <v>7.1259157000000004E-2</v>
      </c>
      <c r="G10">
        <v>0.10528825</v>
      </c>
      <c r="H10">
        <v>0.11755757999999999</v>
      </c>
      <c r="I10">
        <v>0.19545280199999901</v>
      </c>
      <c r="J10">
        <v>1.9316526859999901</v>
      </c>
      <c r="K10">
        <v>0.208745985999999</v>
      </c>
      <c r="L10">
        <v>0.297633022999999</v>
      </c>
      <c r="M10">
        <v>2.4402429E-2</v>
      </c>
      <c r="N10">
        <v>0.62008680500000002</v>
      </c>
      <c r="O10">
        <v>15.425324863</v>
      </c>
    </row>
    <row r="11" spans="1:15" x14ac:dyDescent="0.2">
      <c r="B11">
        <v>6</v>
      </c>
      <c r="C11">
        <v>2.53951529999999E-2</v>
      </c>
      <c r="D11">
        <v>10.099723987000001</v>
      </c>
      <c r="E11">
        <v>2.32941839999999</v>
      </c>
      <c r="F11">
        <v>7.0885852999999999E-2</v>
      </c>
      <c r="G11">
        <v>0.105280375999999</v>
      </c>
      <c r="H11">
        <v>0.116655853</v>
      </c>
      <c r="I11">
        <v>0.195017264</v>
      </c>
      <c r="J11">
        <v>1.9323679599999899</v>
      </c>
      <c r="K11">
        <v>0.208760261999999</v>
      </c>
      <c r="L11">
        <v>0.29636837399999899</v>
      </c>
      <c r="M11">
        <v>2.4179472E-2</v>
      </c>
      <c r="N11">
        <v>0.611222712</v>
      </c>
      <c r="O11">
        <v>15.422380399</v>
      </c>
    </row>
    <row r="12" spans="1:15" x14ac:dyDescent="0.2">
      <c r="B12">
        <v>7</v>
      </c>
      <c r="C12">
        <v>2.5459150999999999E-2</v>
      </c>
      <c r="D12">
        <v>10.1016256789999</v>
      </c>
      <c r="E12">
        <v>2.3297095759999902</v>
      </c>
      <c r="F12">
        <v>7.0876266000000104E-2</v>
      </c>
      <c r="G12">
        <v>0.105656811</v>
      </c>
      <c r="H12">
        <v>0.11626690299999901</v>
      </c>
      <c r="I12">
        <v>0.194941688999999</v>
      </c>
      <c r="J12">
        <v>1.9301710480000001</v>
      </c>
      <c r="K12">
        <v>0.20866443800000001</v>
      </c>
      <c r="L12">
        <v>0.29608520999999899</v>
      </c>
      <c r="M12">
        <v>2.41489599999999E-2</v>
      </c>
      <c r="N12">
        <v>0.62176095799999997</v>
      </c>
      <c r="O12">
        <v>15.422180737</v>
      </c>
    </row>
    <row r="13" spans="1:15" x14ac:dyDescent="0.2">
      <c r="B13">
        <v>8</v>
      </c>
      <c r="C13">
        <v>2.5351556000000001E-2</v>
      </c>
      <c r="D13">
        <v>10.0917733379999</v>
      </c>
      <c r="E13">
        <v>2.3303256639999899</v>
      </c>
      <c r="F13">
        <v>7.1009946999999796E-2</v>
      </c>
      <c r="G13">
        <v>0.105642655</v>
      </c>
      <c r="H13">
        <v>0.115968692999999</v>
      </c>
      <c r="I13">
        <v>0.19533699800000001</v>
      </c>
      <c r="J13">
        <v>1.9303339069999901</v>
      </c>
      <c r="K13">
        <v>0.20884250299999901</v>
      </c>
      <c r="L13">
        <v>0.29673680200000002</v>
      </c>
      <c r="M13">
        <v>2.4217947999999899E-2</v>
      </c>
      <c r="N13">
        <v>0.61045812600000005</v>
      </c>
      <c r="O13">
        <v>15.414110351</v>
      </c>
    </row>
    <row r="14" spans="1:15" x14ac:dyDescent="0.2">
      <c r="B14">
        <v>9</v>
      </c>
      <c r="C14">
        <v>2.5502058000000001E-2</v>
      </c>
      <c r="D14">
        <v>10.099553321999901</v>
      </c>
      <c r="E14">
        <v>2.330985192</v>
      </c>
      <c r="F14">
        <v>7.1190351000000096E-2</v>
      </c>
      <c r="G14">
        <v>0.105847889</v>
      </c>
      <c r="H14">
        <v>0.116869266999999</v>
      </c>
      <c r="I14">
        <v>0.195518261</v>
      </c>
      <c r="J14">
        <v>1.9271281440000001</v>
      </c>
      <c r="K14">
        <v>0.209259116999999</v>
      </c>
      <c r="L14">
        <v>0.29808918699999898</v>
      </c>
      <c r="M14">
        <v>2.4367838999999999E-2</v>
      </c>
      <c r="N14">
        <v>0.61301483700000003</v>
      </c>
      <c r="O14">
        <v>15.422933222999999</v>
      </c>
    </row>
    <row r="15" spans="1:15" x14ac:dyDescent="0.2">
      <c r="B15" s="1" t="s">
        <v>21</v>
      </c>
      <c r="C15">
        <v>2.5502058000000001E-2</v>
      </c>
      <c r="D15">
        <v>10.099553321999901</v>
      </c>
      <c r="E15">
        <v>2.330985192</v>
      </c>
      <c r="F15">
        <v>7.1190351000000096E-2</v>
      </c>
      <c r="G15">
        <v>0.105847889</v>
      </c>
      <c r="H15">
        <v>0.116869266999999</v>
      </c>
      <c r="I15">
        <v>0.195518261</v>
      </c>
      <c r="J15">
        <v>1.9271281440000001</v>
      </c>
      <c r="K15">
        <v>0.209259116999999</v>
      </c>
      <c r="L15">
        <v>0.29808918699999898</v>
      </c>
      <c r="M15">
        <v>2.4367838999999999E-2</v>
      </c>
      <c r="N15">
        <v>0.61301483700000003</v>
      </c>
      <c r="O15">
        <v>15.422933222999999</v>
      </c>
    </row>
    <row r="18" spans="2:23" x14ac:dyDescent="0.2">
      <c r="B18" s="4" t="s">
        <v>26</v>
      </c>
      <c r="C18" s="4"/>
      <c r="D18" s="4"/>
      <c r="E18" s="4"/>
      <c r="F18" s="4"/>
      <c r="G18" s="4"/>
      <c r="H18" s="1"/>
      <c r="I18" s="1"/>
      <c r="J18" s="1"/>
      <c r="K18" s="1"/>
      <c r="L18" s="1"/>
      <c r="M18" s="1"/>
      <c r="N18" s="1"/>
      <c r="O18" s="1"/>
    </row>
    <row r="19" spans="2:23" x14ac:dyDescent="0.2">
      <c r="B19" s="1" t="s">
        <v>20</v>
      </c>
      <c r="C19" s="1" t="s">
        <v>28</v>
      </c>
      <c r="D19" s="1" t="s">
        <v>29</v>
      </c>
      <c r="E19" s="1" t="s">
        <v>30</v>
      </c>
      <c r="F19" s="1" t="s">
        <v>16</v>
      </c>
      <c r="G19" s="1" t="s">
        <v>17</v>
      </c>
    </row>
    <row r="20" spans="2:23" x14ac:dyDescent="0.2">
      <c r="C20" s="3"/>
      <c r="D20" s="3"/>
      <c r="E20" s="3"/>
    </row>
    <row r="21" spans="2:23" x14ac:dyDescent="0.2">
      <c r="C21" s="3"/>
      <c r="D21" s="3"/>
      <c r="E21" s="3"/>
    </row>
    <row r="22" spans="2:23" x14ac:dyDescent="0.2">
      <c r="C22" s="3"/>
      <c r="D22" s="3"/>
      <c r="E22" s="3"/>
    </row>
    <row r="23" spans="2:23" x14ac:dyDescent="0.2">
      <c r="C23" s="3"/>
      <c r="D23" s="3"/>
      <c r="E23" s="3"/>
    </row>
    <row r="24" spans="2:23" x14ac:dyDescent="0.2">
      <c r="C24" s="3"/>
      <c r="D24" s="3"/>
      <c r="E24" s="3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2:23" x14ac:dyDescent="0.2">
      <c r="C25" s="3"/>
      <c r="D25" s="3"/>
      <c r="E25" s="3"/>
    </row>
    <row r="26" spans="2:23" x14ac:dyDescent="0.2">
      <c r="C26" s="3"/>
      <c r="D26" s="3"/>
      <c r="E26" s="3"/>
    </row>
    <row r="27" spans="2:23" x14ac:dyDescent="0.2">
      <c r="C27" s="3"/>
      <c r="D27" s="3"/>
      <c r="E27" s="3"/>
    </row>
    <row r="28" spans="2:23" x14ac:dyDescent="0.2">
      <c r="C28" s="3"/>
      <c r="D28" s="3"/>
      <c r="E28" s="3"/>
    </row>
    <row r="29" spans="2:23" x14ac:dyDescent="0.2">
      <c r="C29" s="3"/>
      <c r="D29" s="3"/>
      <c r="E29" s="3"/>
    </row>
    <row r="30" spans="2:23" x14ac:dyDescent="0.2">
      <c r="B30" s="1" t="s">
        <v>21</v>
      </c>
      <c r="C30" s="1"/>
      <c r="D30" s="1"/>
      <c r="E30" s="1"/>
      <c r="F30" s="1"/>
      <c r="G30" s="1"/>
    </row>
  </sheetData>
  <mergeCells count="2">
    <mergeCell ref="C3:O3"/>
    <mergeCell ref="B18:G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7374F-425A-0C4A-B316-973C7C980C22}">
  <dimension ref="A1:O30"/>
  <sheetViews>
    <sheetView workbookViewId="0">
      <selection activeCell="M1" sqref="M1:M1048576"/>
    </sheetView>
  </sheetViews>
  <sheetFormatPr baseColWidth="10" defaultRowHeight="16" x14ac:dyDescent="0.2"/>
  <cols>
    <col min="3" max="3" width="16.6640625" bestFit="1" customWidth="1"/>
    <col min="4" max="4" width="16.1640625" customWidth="1"/>
    <col min="5" max="5" width="15.33203125" bestFit="1" customWidth="1"/>
    <col min="6" max="6" width="18.5" bestFit="1" customWidth="1"/>
    <col min="7" max="7" width="19.5" bestFit="1" customWidth="1"/>
    <col min="8" max="8" width="15.33203125" bestFit="1" customWidth="1"/>
    <col min="9" max="9" width="12.1640625" bestFit="1" customWidth="1"/>
    <col min="10" max="10" width="15.5" bestFit="1" customWidth="1"/>
    <col min="12" max="12" width="14.5" bestFit="1" customWidth="1"/>
    <col min="13" max="15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27</v>
      </c>
      <c r="C4" s="1" t="s">
        <v>5</v>
      </c>
      <c r="D4" s="1" t="s">
        <v>6</v>
      </c>
      <c r="E4" s="1" t="s">
        <v>32</v>
      </c>
      <c r="F4" s="1" t="s">
        <v>33</v>
      </c>
      <c r="G4" s="1" t="s">
        <v>34</v>
      </c>
      <c r="H4" s="1" t="s">
        <v>7</v>
      </c>
      <c r="I4" s="1" t="s">
        <v>13</v>
      </c>
      <c r="J4" s="1" t="s">
        <v>14</v>
      </c>
      <c r="K4" s="1" t="s">
        <v>35</v>
      </c>
      <c r="L4" s="1" t="s">
        <v>36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2.5658337E-2</v>
      </c>
      <c r="D5">
        <v>10.093682463</v>
      </c>
      <c r="E5">
        <v>2.3356965279999899</v>
      </c>
      <c r="F5">
        <v>6.9424951999999804E-2</v>
      </c>
      <c r="G5">
        <v>0.58602730300000105</v>
      </c>
      <c r="H5">
        <v>0.119650152</v>
      </c>
      <c r="I5">
        <v>0.67160559399999997</v>
      </c>
      <c r="J5">
        <v>5.0263704220000003</v>
      </c>
      <c r="K5">
        <v>9.9511652299999902</v>
      </c>
      <c r="L5">
        <v>0.375086950999999</v>
      </c>
      <c r="M5">
        <v>2.38158279999999E-2</v>
      </c>
      <c r="N5">
        <v>0.58706498600000001</v>
      </c>
      <c r="O5">
        <v>29.296331703</v>
      </c>
    </row>
    <row r="6" spans="1:15" x14ac:dyDescent="0.2">
      <c r="B6">
        <v>1</v>
      </c>
      <c r="C6">
        <v>2.6117731000000002E-2</v>
      </c>
      <c r="D6">
        <v>10.093207673</v>
      </c>
      <c r="E6">
        <v>2.3354211849999902</v>
      </c>
      <c r="F6">
        <v>6.9868729999999907E-2</v>
      </c>
      <c r="G6">
        <v>0.58612498400000002</v>
      </c>
      <c r="H6">
        <v>0.120571596999999</v>
      </c>
      <c r="I6">
        <v>0.67255381299999795</v>
      </c>
      <c r="J6">
        <v>5.02376399799999</v>
      </c>
      <c r="K6">
        <v>9.9486751629999901</v>
      </c>
      <c r="L6">
        <v>0.37712743699999901</v>
      </c>
      <c r="M6">
        <v>2.40840149999999E-2</v>
      </c>
      <c r="N6">
        <v>0.58786943700000005</v>
      </c>
      <c r="O6">
        <v>29.295960938</v>
      </c>
    </row>
    <row r="7" spans="1:15" x14ac:dyDescent="0.2">
      <c r="B7">
        <v>2</v>
      </c>
      <c r="C7">
        <v>2.5716586999999898E-2</v>
      </c>
      <c r="D7">
        <v>10.0858451799999</v>
      </c>
      <c r="E7">
        <v>2.334463183</v>
      </c>
      <c r="F7">
        <v>6.9381901999999898E-2</v>
      </c>
      <c r="G7">
        <v>0.58605405499999996</v>
      </c>
      <c r="H7">
        <v>0.119483336999999</v>
      </c>
      <c r="I7">
        <v>0.67152304200000001</v>
      </c>
      <c r="J7">
        <v>5.0294800439999898</v>
      </c>
      <c r="K7">
        <v>9.9507343529999801</v>
      </c>
      <c r="L7">
        <v>0.37440991299999998</v>
      </c>
      <c r="M7">
        <v>2.3655680999999901E-2</v>
      </c>
      <c r="N7">
        <v>0.59000862700000001</v>
      </c>
      <c r="O7">
        <v>29.289230675999999</v>
      </c>
    </row>
    <row r="8" spans="1:15" x14ac:dyDescent="0.2">
      <c r="B8">
        <v>3</v>
      </c>
      <c r="C8">
        <v>2.5602241000000001E-2</v>
      </c>
      <c r="D8">
        <v>10.0942111739999</v>
      </c>
      <c r="E8">
        <v>2.3348518619999998</v>
      </c>
      <c r="F8">
        <v>6.9413334000000104E-2</v>
      </c>
      <c r="G8">
        <v>0.58577078400000004</v>
      </c>
      <c r="H8">
        <v>0.11941281499999901</v>
      </c>
      <c r="I8">
        <v>0.67177803199999897</v>
      </c>
      <c r="J8">
        <v>5.0270572470000001</v>
      </c>
      <c r="K8">
        <v>9.9493412180000007</v>
      </c>
      <c r="L8">
        <v>0.37423348699999898</v>
      </c>
      <c r="M8">
        <v>2.36104579999999E-2</v>
      </c>
      <c r="N8">
        <v>0.57972277400000005</v>
      </c>
      <c r="O8">
        <v>29.293794720000001</v>
      </c>
    </row>
    <row r="9" spans="1:15" x14ac:dyDescent="0.2">
      <c r="B9">
        <v>4</v>
      </c>
      <c r="C9">
        <v>2.5563717999999999E-2</v>
      </c>
      <c r="D9">
        <v>10.089171578</v>
      </c>
      <c r="E9">
        <v>2.3348916059999998</v>
      </c>
      <c r="F9">
        <v>6.9234457999999999E-2</v>
      </c>
      <c r="G9">
        <v>0.58554126699999998</v>
      </c>
      <c r="H9">
        <v>0.11848811300000001</v>
      </c>
      <c r="I9">
        <v>0.67167505500000002</v>
      </c>
      <c r="J9">
        <v>5.0229294330000096</v>
      </c>
      <c r="K9">
        <v>9.9507623999999897</v>
      </c>
      <c r="L9">
        <v>0.374504591</v>
      </c>
      <c r="M9">
        <v>2.3632976999999999E-2</v>
      </c>
      <c r="N9">
        <v>0.58698483199999996</v>
      </c>
      <c r="O9">
        <v>29.284437164</v>
      </c>
    </row>
    <row r="10" spans="1:15" x14ac:dyDescent="0.2">
      <c r="B10">
        <v>5</v>
      </c>
      <c r="C10">
        <v>2.5582337999999899E-2</v>
      </c>
      <c r="D10">
        <v>10.091677192000001</v>
      </c>
      <c r="E10">
        <v>2.3338897409999899</v>
      </c>
      <c r="F10">
        <v>6.9303388999999896E-2</v>
      </c>
      <c r="G10">
        <v>0.58556129800000001</v>
      </c>
      <c r="H10">
        <v>0.119283062</v>
      </c>
      <c r="I10">
        <v>0.67143237300000103</v>
      </c>
      <c r="J10">
        <v>5.0257071829999997</v>
      </c>
      <c r="K10">
        <v>9.9482321210000002</v>
      </c>
      <c r="L10">
        <v>0.373783804</v>
      </c>
      <c r="M10">
        <v>2.3626337000000001E-2</v>
      </c>
      <c r="N10">
        <v>0.585429219</v>
      </c>
      <c r="O10">
        <v>29.285996446999999</v>
      </c>
    </row>
    <row r="11" spans="1:15" x14ac:dyDescent="0.2">
      <c r="B11">
        <v>6</v>
      </c>
      <c r="C11">
        <v>2.5649974999999901E-2</v>
      </c>
      <c r="D11">
        <v>10.092924089</v>
      </c>
      <c r="E11">
        <v>2.3345521119999999</v>
      </c>
      <c r="F11">
        <v>6.9512702999999898E-2</v>
      </c>
      <c r="G11">
        <v>0.58594524999999897</v>
      </c>
      <c r="H11">
        <v>0.11947503900000001</v>
      </c>
      <c r="I11">
        <v>0.67165192299999898</v>
      </c>
      <c r="J11">
        <v>5.0327991549999904</v>
      </c>
      <c r="K11">
        <v>9.9519940199999901</v>
      </c>
      <c r="L11">
        <v>0.37499023199999898</v>
      </c>
      <c r="M11">
        <v>2.3805277E-2</v>
      </c>
      <c r="N11">
        <v>0.590182557</v>
      </c>
      <c r="O11">
        <v>29.301290112</v>
      </c>
    </row>
    <row r="12" spans="1:15" x14ac:dyDescent="0.2">
      <c r="B12">
        <v>7</v>
      </c>
      <c r="C12">
        <v>2.5590978999999899E-2</v>
      </c>
      <c r="D12">
        <v>10.090467065</v>
      </c>
      <c r="E12">
        <v>2.3349920929999901</v>
      </c>
      <c r="F12">
        <v>6.9451468999999905E-2</v>
      </c>
      <c r="G12">
        <v>0.58626539</v>
      </c>
      <c r="H12">
        <v>0.119900559999999</v>
      </c>
      <c r="I12">
        <v>0.67195465299999901</v>
      </c>
      <c r="J12">
        <v>5.0288948449999902</v>
      </c>
      <c r="K12">
        <v>9.9484108240000104</v>
      </c>
      <c r="L12">
        <v>0.37497456699999798</v>
      </c>
      <c r="M12">
        <v>2.3692873999999999E-2</v>
      </c>
      <c r="N12">
        <v>0.58494116900000004</v>
      </c>
      <c r="O12">
        <v>29.292886993</v>
      </c>
    </row>
    <row r="13" spans="1:15" x14ac:dyDescent="0.2">
      <c r="B13">
        <v>8</v>
      </c>
      <c r="C13">
        <v>2.5695407999999999E-2</v>
      </c>
      <c r="D13">
        <v>10.096569122</v>
      </c>
      <c r="E13">
        <v>2.3356758239999902</v>
      </c>
      <c r="F13">
        <v>6.9783545000000002E-2</v>
      </c>
      <c r="G13">
        <v>0.58585584799999901</v>
      </c>
      <c r="H13">
        <v>0.11943102799999999</v>
      </c>
      <c r="I13">
        <v>0.67184591299999996</v>
      </c>
      <c r="J13">
        <v>5.0319200479999999</v>
      </c>
      <c r="K13">
        <v>9.9486950479999905</v>
      </c>
      <c r="L13">
        <v>0.37527459000000002</v>
      </c>
      <c r="M13">
        <v>2.3776411000000001E-2</v>
      </c>
      <c r="N13">
        <v>0.58932202600000005</v>
      </c>
      <c r="O13">
        <v>29.302501491000001</v>
      </c>
    </row>
    <row r="14" spans="1:15" x14ac:dyDescent="0.2">
      <c r="B14">
        <v>9</v>
      </c>
      <c r="C14">
        <v>2.5868881999999899E-2</v>
      </c>
      <c r="D14">
        <v>10.0974611769999</v>
      </c>
      <c r="E14">
        <v>2.3352196699999999</v>
      </c>
      <c r="F14">
        <v>6.9648502000000001E-2</v>
      </c>
      <c r="G14">
        <v>0.58641217499999898</v>
      </c>
      <c r="H14">
        <v>0.12063270499999899</v>
      </c>
      <c r="I14">
        <v>0.67236594999999999</v>
      </c>
      <c r="J14">
        <v>5.0378034949999799</v>
      </c>
      <c r="K14">
        <v>9.9517345579999894</v>
      </c>
      <c r="L14">
        <v>0.375970167999998</v>
      </c>
      <c r="M14">
        <v>2.38891579999999E-2</v>
      </c>
      <c r="N14">
        <v>0.58628258099999997</v>
      </c>
      <c r="O14">
        <v>29.315214963999999</v>
      </c>
    </row>
    <row r="15" spans="1:15" x14ac:dyDescent="0.2">
      <c r="B15" s="1" t="s">
        <v>22</v>
      </c>
      <c r="C15" s="1">
        <v>2.5704619599999898E-2</v>
      </c>
      <c r="D15" s="1">
        <v>10.0925216713</v>
      </c>
      <c r="E15" s="1">
        <v>2.3349653803999901</v>
      </c>
      <c r="F15" s="1">
        <v>6.9502298399999898E-2</v>
      </c>
      <c r="G15" s="1">
        <v>0.58595583539999996</v>
      </c>
      <c r="H15" s="1">
        <v>0.1196328408</v>
      </c>
      <c r="I15" s="1">
        <v>0.67183863479999895</v>
      </c>
      <c r="J15" s="1">
        <v>5.028672587</v>
      </c>
      <c r="K15" s="1">
        <v>9.9499744934999903</v>
      </c>
      <c r="L15" s="1">
        <v>0.37503557399999898</v>
      </c>
      <c r="M15" s="1">
        <v>2.3758901599999899E-2</v>
      </c>
      <c r="N15" s="1">
        <v>0.58678082080000005</v>
      </c>
      <c r="O15" s="1">
        <v>29.295764520799999</v>
      </c>
    </row>
    <row r="18" spans="2:7" x14ac:dyDescent="0.2">
      <c r="B18" s="4" t="s">
        <v>26</v>
      </c>
      <c r="C18" s="4"/>
      <c r="D18" s="4"/>
      <c r="E18" s="4"/>
      <c r="F18" s="4"/>
      <c r="G18" s="4"/>
    </row>
    <row r="19" spans="2:7" x14ac:dyDescent="0.2">
      <c r="B19" s="1" t="s">
        <v>27</v>
      </c>
      <c r="C19" s="1" t="s">
        <v>28</v>
      </c>
      <c r="D19" s="1" t="s">
        <v>29</v>
      </c>
      <c r="E19" s="1" t="s">
        <v>30</v>
      </c>
      <c r="F19" s="1" t="s">
        <v>16</v>
      </c>
      <c r="G19" s="1" t="s">
        <v>17</v>
      </c>
    </row>
    <row r="30" spans="2:7" x14ac:dyDescent="0.2">
      <c r="B30" s="1" t="s">
        <v>22</v>
      </c>
      <c r="C30" s="1"/>
      <c r="D30" s="1"/>
      <c r="E30" s="1"/>
      <c r="F30" s="1"/>
      <c r="G30" s="1"/>
    </row>
  </sheetData>
  <mergeCells count="2">
    <mergeCell ref="C3:O3"/>
    <mergeCell ref="B18:G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3BDD0-3A87-544A-A16E-D142A4C1F8FB}">
  <dimension ref="A1:O30"/>
  <sheetViews>
    <sheetView workbookViewId="0">
      <selection activeCell="C15" sqref="C15:O15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4.1640625" bestFit="1" customWidth="1"/>
    <col min="6" max="6" width="13" bestFit="1" customWidth="1"/>
    <col min="7" max="7" width="13.83203125" bestFit="1" customWidth="1"/>
    <col min="8" max="8" width="15.33203125" bestFit="1" customWidth="1"/>
    <col min="9" max="9" width="12.1640625" bestFit="1" customWidth="1"/>
    <col min="10" max="10" width="15.5" bestFit="1" customWidth="1"/>
    <col min="11" max="11" width="12.1640625" bestFit="1" customWidth="1"/>
    <col min="12" max="12" width="14.5" bestFit="1" customWidth="1"/>
    <col min="13" max="15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27</v>
      </c>
      <c r="C4" s="1" t="s">
        <v>5</v>
      </c>
      <c r="D4" s="1" t="s">
        <v>6</v>
      </c>
      <c r="E4" s="1" t="s">
        <v>32</v>
      </c>
      <c r="F4" s="1" t="s">
        <v>33</v>
      </c>
      <c r="G4" s="1" t="s">
        <v>34</v>
      </c>
      <c r="H4" s="1" t="s">
        <v>7</v>
      </c>
      <c r="I4" s="1" t="s">
        <v>13</v>
      </c>
      <c r="J4" s="1" t="s">
        <v>14</v>
      </c>
      <c r="K4" s="1" t="s">
        <v>35</v>
      </c>
      <c r="L4" s="1" t="s">
        <v>36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2.5381299999999999E-2</v>
      </c>
      <c r="D5">
        <v>10.094796578999899</v>
      </c>
      <c r="E5">
        <v>2.3297894640000001</v>
      </c>
      <c r="F5">
        <v>7.1154372999999896E-2</v>
      </c>
      <c r="G5">
        <v>0.10554603999999999</v>
      </c>
      <c r="H5">
        <v>0.116100254</v>
      </c>
      <c r="I5">
        <v>0.19477443699999999</v>
      </c>
      <c r="J5">
        <v>1.9261226809999901</v>
      </c>
      <c r="K5">
        <v>0.20856348599999999</v>
      </c>
      <c r="L5">
        <v>0.29711332899999998</v>
      </c>
      <c r="M5">
        <v>2.4299680999999899E-2</v>
      </c>
      <c r="N5">
        <v>0.61107526700000003</v>
      </c>
      <c r="O5">
        <v>15.41287142</v>
      </c>
    </row>
    <row r="6" spans="1:15" x14ac:dyDescent="0.2">
      <c r="B6">
        <v>1</v>
      </c>
      <c r="C6">
        <v>2.5593776999999901E-2</v>
      </c>
      <c r="D6">
        <v>10.100115025999999</v>
      </c>
      <c r="E6">
        <v>2.330984489</v>
      </c>
      <c r="F6">
        <v>7.1201850999999997E-2</v>
      </c>
      <c r="G6">
        <v>0.105698706</v>
      </c>
      <c r="H6">
        <v>0.116485776</v>
      </c>
      <c r="I6">
        <v>0.19517368800000001</v>
      </c>
      <c r="J6">
        <v>1.926507255</v>
      </c>
      <c r="K6">
        <v>0.208958596999999</v>
      </c>
      <c r="L6">
        <v>0.297431798999999</v>
      </c>
      <c r="M6">
        <v>2.4301185999999898E-2</v>
      </c>
      <c r="N6">
        <v>0.61642061800000003</v>
      </c>
      <c r="O6">
        <v>15.421131693</v>
      </c>
    </row>
    <row r="7" spans="1:15" x14ac:dyDescent="0.2">
      <c r="B7">
        <v>2</v>
      </c>
      <c r="C7">
        <v>2.5385094E-2</v>
      </c>
      <c r="D7">
        <v>10.099606200999901</v>
      </c>
      <c r="E7">
        <v>2.33054201499999</v>
      </c>
      <c r="F7">
        <v>7.0956227999999996E-2</v>
      </c>
      <c r="G7">
        <v>0.105521774999999</v>
      </c>
      <c r="H7">
        <v>0.116174641999999</v>
      </c>
      <c r="I7">
        <v>0.195038249</v>
      </c>
      <c r="J7">
        <v>1.9270152439999899</v>
      </c>
      <c r="K7">
        <v>0.20866674900000001</v>
      </c>
      <c r="L7">
        <v>0.29660057899999898</v>
      </c>
      <c r="M7">
        <v>2.4239949E-2</v>
      </c>
      <c r="N7">
        <v>0.627401451</v>
      </c>
      <c r="O7">
        <v>15.418322413</v>
      </c>
    </row>
    <row r="8" spans="1:15" x14ac:dyDescent="0.2">
      <c r="B8">
        <v>3</v>
      </c>
      <c r="C8">
        <v>2.6014560999999901E-2</v>
      </c>
      <c r="D8">
        <v>10.102088583</v>
      </c>
      <c r="E8">
        <v>2.3322300930000002</v>
      </c>
      <c r="F8">
        <v>7.1691403999999903E-2</v>
      </c>
      <c r="G8">
        <v>0.10630519099999999</v>
      </c>
      <c r="H8">
        <v>0.118632460999999</v>
      </c>
      <c r="I8">
        <v>0.19646021399999999</v>
      </c>
      <c r="J8">
        <v>1.93047126799999</v>
      </c>
      <c r="K8">
        <v>0.20953254999999901</v>
      </c>
      <c r="L8">
        <v>0.30036306699999898</v>
      </c>
      <c r="M8">
        <v>2.4989052000000001E-2</v>
      </c>
      <c r="N8">
        <v>0.606074903</v>
      </c>
      <c r="O8">
        <v>15.438222739</v>
      </c>
    </row>
    <row r="9" spans="1:15" x14ac:dyDescent="0.2">
      <c r="B9">
        <v>4</v>
      </c>
      <c r="C9">
        <v>2.5452000999999901E-2</v>
      </c>
      <c r="D9">
        <v>10.099061013999901</v>
      </c>
      <c r="E9">
        <v>2.33031469499999</v>
      </c>
      <c r="F9">
        <v>7.1123694999999806E-2</v>
      </c>
      <c r="G9">
        <v>0.105617700999999</v>
      </c>
      <c r="H9">
        <v>0.117144761</v>
      </c>
      <c r="I9">
        <v>0.19552296</v>
      </c>
      <c r="J9">
        <v>1.9273427089999999</v>
      </c>
      <c r="K9">
        <v>0.208768761999999</v>
      </c>
      <c r="L9">
        <v>0.29684469199999902</v>
      </c>
      <c r="M9">
        <v>2.4375148999999999E-2</v>
      </c>
      <c r="N9">
        <v>0.61160619699999996</v>
      </c>
      <c r="O9">
        <v>15.420349859</v>
      </c>
    </row>
    <row r="10" spans="1:15" x14ac:dyDescent="0.2">
      <c r="B10">
        <v>5</v>
      </c>
      <c r="C10">
        <v>2.56382449999999E-2</v>
      </c>
      <c r="D10">
        <v>10.1002633769999</v>
      </c>
      <c r="E10">
        <v>2.3293710559999998</v>
      </c>
      <c r="F10">
        <v>7.1283706000000002E-2</v>
      </c>
      <c r="G10">
        <v>0.105543874</v>
      </c>
      <c r="H10">
        <v>0.116905810999999</v>
      </c>
      <c r="I10">
        <v>0.19579743999999999</v>
      </c>
      <c r="J10">
        <v>1.9320005089999901</v>
      </c>
      <c r="K10">
        <v>0.20879339699999999</v>
      </c>
      <c r="L10">
        <v>0.29746052699999898</v>
      </c>
      <c r="M10">
        <v>2.4490805000000001E-2</v>
      </c>
      <c r="N10">
        <v>0.61472893100000003</v>
      </c>
      <c r="O10">
        <v>15.426239952</v>
      </c>
    </row>
    <row r="11" spans="1:15" x14ac:dyDescent="0.2">
      <c r="B11">
        <v>6</v>
      </c>
      <c r="C11">
        <v>2.53563159999999E-2</v>
      </c>
      <c r="D11">
        <v>10.097232775</v>
      </c>
      <c r="E11">
        <v>2.330120403</v>
      </c>
      <c r="F11">
        <v>7.0971029000000005E-2</v>
      </c>
      <c r="G11">
        <v>0.105499201</v>
      </c>
      <c r="H11">
        <v>0.116216875</v>
      </c>
      <c r="I11">
        <v>0.19511076799999999</v>
      </c>
      <c r="J11">
        <v>1.92850694699999</v>
      </c>
      <c r="K11">
        <v>0.208701631</v>
      </c>
      <c r="L11">
        <v>0.296478294999999</v>
      </c>
      <c r="M11">
        <v>2.4226696999999998E-2</v>
      </c>
      <c r="N11">
        <v>0.60892937800000002</v>
      </c>
      <c r="O11">
        <v>15.41752153</v>
      </c>
    </row>
    <row r="12" spans="1:15" x14ac:dyDescent="0.2">
      <c r="B12">
        <v>7</v>
      </c>
      <c r="C12">
        <v>2.5323974999999999E-2</v>
      </c>
      <c r="D12">
        <v>10.097166528000001</v>
      </c>
      <c r="E12">
        <v>2.329730944</v>
      </c>
      <c r="F12">
        <v>7.0901585999999697E-2</v>
      </c>
      <c r="G12">
        <v>0.10541447499999999</v>
      </c>
      <c r="H12">
        <v>0.115732273999999</v>
      </c>
      <c r="I12">
        <v>0.19492797099999901</v>
      </c>
      <c r="J12">
        <v>1.929590127</v>
      </c>
      <c r="K12">
        <v>0.208779138</v>
      </c>
      <c r="L12">
        <v>0.296267271</v>
      </c>
      <c r="M12">
        <v>2.4160647999999899E-2</v>
      </c>
      <c r="N12">
        <v>0.60954544300000002</v>
      </c>
      <c r="O12">
        <v>15.416608752</v>
      </c>
    </row>
    <row r="13" spans="1:15" x14ac:dyDescent="0.2">
      <c r="B13">
        <v>8</v>
      </c>
      <c r="C13">
        <v>2.5499583999999902E-2</v>
      </c>
      <c r="D13">
        <v>10.0966702959999</v>
      </c>
      <c r="E13">
        <v>2.3306569259999899</v>
      </c>
      <c r="F13">
        <v>7.1235964999999998E-2</v>
      </c>
      <c r="G13">
        <v>0.105333591</v>
      </c>
      <c r="H13">
        <v>0.11550263700000001</v>
      </c>
      <c r="I13">
        <v>0.19574702399999899</v>
      </c>
      <c r="J13">
        <v>1.933645957</v>
      </c>
      <c r="K13">
        <v>0.20902261999999999</v>
      </c>
      <c r="L13">
        <v>0.29678373799999902</v>
      </c>
      <c r="M13">
        <v>2.4227780000000001E-2</v>
      </c>
      <c r="N13">
        <v>0.61620193499999998</v>
      </c>
      <c r="O13">
        <v>15.423123092999999</v>
      </c>
    </row>
    <row r="14" spans="1:15" x14ac:dyDescent="0.2">
      <c r="B14">
        <v>9</v>
      </c>
      <c r="C14">
        <v>2.5569718999999901E-2</v>
      </c>
      <c r="D14">
        <v>10.1044150259999</v>
      </c>
      <c r="E14">
        <v>2.3313113250000002</v>
      </c>
      <c r="F14">
        <v>7.1269200999999796E-2</v>
      </c>
      <c r="G14">
        <v>0.10592581399999999</v>
      </c>
      <c r="H14">
        <v>0.116995985</v>
      </c>
      <c r="I14">
        <v>0.19550161399999999</v>
      </c>
      <c r="J14">
        <v>1.928080375</v>
      </c>
      <c r="K14">
        <v>0.20926946299999999</v>
      </c>
      <c r="L14">
        <v>0.29795526499999903</v>
      </c>
      <c r="M14">
        <v>2.44459509999999E-2</v>
      </c>
      <c r="N14">
        <v>0.61003646600000005</v>
      </c>
      <c r="O14">
        <v>15.429712941</v>
      </c>
    </row>
    <row r="15" spans="1:15" x14ac:dyDescent="0.2">
      <c r="B15" s="1" t="s">
        <v>21</v>
      </c>
      <c r="C15" s="1">
        <v>2.5521457199999899E-2</v>
      </c>
      <c r="D15" s="1">
        <v>10.0991415404999</v>
      </c>
      <c r="E15" s="1">
        <v>2.3305051410000002</v>
      </c>
      <c r="F15" s="1">
        <v>7.1178903799999901E-2</v>
      </c>
      <c r="G15" s="1">
        <v>0.10564063680000001</v>
      </c>
      <c r="H15" s="1">
        <v>0.1165891476</v>
      </c>
      <c r="I15" s="1">
        <v>0.1954054365</v>
      </c>
      <c r="J15" s="1">
        <v>1.9289283071999901</v>
      </c>
      <c r="K15" s="1">
        <v>0.2089056393</v>
      </c>
      <c r="L15" s="1">
        <v>0.29732985619999902</v>
      </c>
      <c r="M15" s="1">
        <v>2.4375689799999999E-2</v>
      </c>
      <c r="N15" s="1">
        <v>0.61320205890000001</v>
      </c>
      <c r="O15" s="1">
        <v>15.422410439199901</v>
      </c>
    </row>
    <row r="18" spans="2:14" x14ac:dyDescent="0.2">
      <c r="B18" s="4" t="s">
        <v>26</v>
      </c>
      <c r="C18" s="4"/>
      <c r="D18" s="4"/>
      <c r="E18" s="4"/>
      <c r="F18" s="4"/>
      <c r="G18" s="4"/>
      <c r="H18" s="1"/>
      <c r="I18" s="1"/>
      <c r="J18" s="1"/>
      <c r="K18" s="1"/>
      <c r="L18" s="1"/>
      <c r="M18" s="1"/>
      <c r="N18" s="1"/>
    </row>
    <row r="19" spans="2:14" x14ac:dyDescent="0.2">
      <c r="B19" s="1" t="s">
        <v>27</v>
      </c>
      <c r="C19" s="1" t="s">
        <v>28</v>
      </c>
      <c r="D19" s="1" t="s">
        <v>29</v>
      </c>
      <c r="E19" s="1" t="s">
        <v>30</v>
      </c>
      <c r="F19" s="1" t="s">
        <v>16</v>
      </c>
      <c r="G19" s="1" t="s">
        <v>17</v>
      </c>
    </row>
    <row r="30" spans="2:14" x14ac:dyDescent="0.2">
      <c r="B30" s="1" t="s">
        <v>21</v>
      </c>
      <c r="C30" s="1"/>
      <c r="D30" s="1"/>
      <c r="E30" s="1"/>
      <c r="F30" s="1"/>
      <c r="G30" s="1"/>
    </row>
  </sheetData>
  <mergeCells count="2">
    <mergeCell ref="C3:O3"/>
    <mergeCell ref="B18:G1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11A7-FF5C-9946-82AC-26D645B98B8C}">
  <dimension ref="A1:O30"/>
  <sheetViews>
    <sheetView workbookViewId="0">
      <selection activeCell="C15" sqref="C15:O15"/>
    </sheetView>
  </sheetViews>
  <sheetFormatPr baseColWidth="10" defaultRowHeight="16" x14ac:dyDescent="0.2"/>
  <cols>
    <col min="5" max="5" width="15.33203125" bestFit="1" customWidth="1"/>
    <col min="6" max="6" width="18.5" bestFit="1" customWidth="1"/>
    <col min="7" max="7" width="19.5" bestFit="1" customWidth="1"/>
    <col min="8" max="8" width="20.33203125" bestFit="1" customWidth="1"/>
    <col min="9" max="9" width="14" bestFit="1" customWidth="1"/>
    <col min="10" max="10" width="22" bestFit="1" customWidth="1"/>
    <col min="11" max="11" width="12.1640625" bestFit="1" customWidth="1"/>
    <col min="12" max="12" width="15.5" bestFit="1" customWidth="1"/>
    <col min="13" max="15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2.56602529999999E-2</v>
      </c>
      <c r="D5">
        <v>10.092411062999901</v>
      </c>
      <c r="E5">
        <v>2.3350925139999998</v>
      </c>
      <c r="F5">
        <v>6.9307840999999995E-2</v>
      </c>
      <c r="G5">
        <v>0.58615123199999897</v>
      </c>
      <c r="H5">
        <v>0.118665115</v>
      </c>
      <c r="I5">
        <v>0.67143337400000003</v>
      </c>
      <c r="J5">
        <v>5.0247875339999899</v>
      </c>
      <c r="K5">
        <v>9.9494871550000106</v>
      </c>
      <c r="L5">
        <v>0.37495494899999998</v>
      </c>
      <c r="M5">
        <v>2.3633946999999898E-2</v>
      </c>
      <c r="N5">
        <v>0.61694170800000003</v>
      </c>
      <c r="O5">
        <v>29.289828121999999</v>
      </c>
    </row>
    <row r="6" spans="1:15" x14ac:dyDescent="0.2">
      <c r="B6">
        <v>1</v>
      </c>
      <c r="C6">
        <v>2.6009707999999899E-2</v>
      </c>
      <c r="D6">
        <v>10.092801394</v>
      </c>
      <c r="E6">
        <v>2.3346325109999899</v>
      </c>
      <c r="F6">
        <v>6.9917533000000101E-2</v>
      </c>
      <c r="G6">
        <v>0.58645207299999802</v>
      </c>
      <c r="H6">
        <v>0.121546468</v>
      </c>
      <c r="I6">
        <v>0.67245170300000001</v>
      </c>
      <c r="J6">
        <v>5.0252363259999902</v>
      </c>
      <c r="K6">
        <v>9.9493611210000008</v>
      </c>
      <c r="L6">
        <v>0.37690058399999898</v>
      </c>
      <c r="M6">
        <v>2.4019788E-2</v>
      </c>
      <c r="N6">
        <v>0.59299689600000005</v>
      </c>
      <c r="O6">
        <v>29.297806472000001</v>
      </c>
    </row>
    <row r="7" spans="1:15" x14ac:dyDescent="0.2">
      <c r="B7">
        <v>2</v>
      </c>
      <c r="C7">
        <v>2.5633884999999999E-2</v>
      </c>
      <c r="D7">
        <v>10.093617110999901</v>
      </c>
      <c r="E7">
        <v>2.335474472</v>
      </c>
      <c r="F7">
        <v>6.9390459000000002E-2</v>
      </c>
      <c r="G7">
        <v>0.58617621600000103</v>
      </c>
      <c r="H7">
        <v>0.11867947199999999</v>
      </c>
      <c r="I7">
        <v>0.67159537300000005</v>
      </c>
      <c r="J7">
        <v>5.0303447039999796</v>
      </c>
      <c r="K7">
        <v>9.9532243119999695</v>
      </c>
      <c r="L7">
        <v>0.37461931999999898</v>
      </c>
      <c r="M7">
        <v>2.3737149999999901E-2</v>
      </c>
      <c r="N7">
        <v>0.601366505</v>
      </c>
      <c r="O7">
        <v>29.300475652999999</v>
      </c>
    </row>
    <row r="8" spans="1:15" x14ac:dyDescent="0.2">
      <c r="B8">
        <v>3</v>
      </c>
      <c r="C8">
        <v>2.5570568999999901E-2</v>
      </c>
      <c r="D8">
        <v>10.0915633889999</v>
      </c>
      <c r="E8">
        <v>2.3350707679999898</v>
      </c>
      <c r="F8">
        <v>6.9348543999999998E-2</v>
      </c>
      <c r="G8">
        <v>0.58588457599999999</v>
      </c>
      <c r="H8">
        <v>0.11797352899999899</v>
      </c>
      <c r="I8">
        <v>0.67163842600000101</v>
      </c>
      <c r="J8">
        <v>5.0294728649999998</v>
      </c>
      <c r="K8">
        <v>9.9503148849999992</v>
      </c>
      <c r="L8">
        <v>0.374501948999999</v>
      </c>
      <c r="M8">
        <v>2.3681457999999898E-2</v>
      </c>
      <c r="N8">
        <v>0.59512648800000001</v>
      </c>
      <c r="O8">
        <v>29.293122816</v>
      </c>
    </row>
    <row r="9" spans="1:15" x14ac:dyDescent="0.2">
      <c r="B9">
        <v>4</v>
      </c>
      <c r="C9">
        <v>2.5600774999999999E-2</v>
      </c>
      <c r="D9">
        <v>10.0941521719999</v>
      </c>
      <c r="E9">
        <v>2.33452129699999</v>
      </c>
      <c r="F9">
        <v>6.9463336000000001E-2</v>
      </c>
      <c r="G9">
        <v>0.58592276199999904</v>
      </c>
      <c r="H9">
        <v>0.118419817</v>
      </c>
      <c r="I9">
        <v>0.67170904399999898</v>
      </c>
      <c r="J9">
        <v>5.0216696289999998</v>
      </c>
      <c r="K9">
        <v>9.9507542880000006</v>
      </c>
      <c r="L9">
        <v>0.37420821799999998</v>
      </c>
      <c r="M9">
        <v>2.3578144999999901E-2</v>
      </c>
      <c r="N9">
        <v>0.60293921699999997</v>
      </c>
      <c r="O9">
        <v>29.288165759000002</v>
      </c>
    </row>
    <row r="10" spans="1:15" x14ac:dyDescent="0.2">
      <c r="B10">
        <v>5</v>
      </c>
      <c r="C10">
        <v>2.5533976999999899E-2</v>
      </c>
      <c r="D10">
        <v>10.093131085</v>
      </c>
      <c r="E10">
        <v>2.3343073539999901</v>
      </c>
      <c r="F10">
        <v>6.9289595999999995E-2</v>
      </c>
      <c r="G10">
        <v>0.58555464099999999</v>
      </c>
      <c r="H10">
        <v>0.11845826999999901</v>
      </c>
      <c r="I10">
        <v>0.67179013700000001</v>
      </c>
      <c r="J10">
        <v>5.0332886299999799</v>
      </c>
      <c r="K10">
        <v>9.9511270870000104</v>
      </c>
      <c r="L10">
        <v>0.37405508399999898</v>
      </c>
      <c r="M10">
        <v>2.363258E-2</v>
      </c>
      <c r="N10">
        <v>0.61195766600000001</v>
      </c>
      <c r="O10">
        <v>29.298625094999998</v>
      </c>
    </row>
    <row r="11" spans="1:15" x14ac:dyDescent="0.2">
      <c r="B11">
        <v>6</v>
      </c>
      <c r="C11">
        <v>2.5679405999999998E-2</v>
      </c>
      <c r="D11">
        <v>10.094681947</v>
      </c>
      <c r="E11">
        <v>2.3351234269999899</v>
      </c>
      <c r="F11">
        <v>6.9546087999999895E-2</v>
      </c>
      <c r="G11">
        <v>0.58555205499999996</v>
      </c>
      <c r="H11">
        <v>0.119074282</v>
      </c>
      <c r="I11">
        <v>0.67183946899999802</v>
      </c>
      <c r="J11">
        <v>5.02385722799999</v>
      </c>
      <c r="K11">
        <v>9.9518861309999807</v>
      </c>
      <c r="L11">
        <v>0.37504373199999902</v>
      </c>
      <c r="M11">
        <v>2.3730856000000002E-2</v>
      </c>
      <c r="N11">
        <v>0.58939027099999997</v>
      </c>
      <c r="O11">
        <v>29.294494213</v>
      </c>
    </row>
    <row r="12" spans="1:15" x14ac:dyDescent="0.2">
      <c r="B12">
        <v>7</v>
      </c>
      <c r="C12">
        <v>2.5762748999999901E-2</v>
      </c>
      <c r="D12">
        <v>10.0950343149999</v>
      </c>
      <c r="E12">
        <v>2.3347884059999999</v>
      </c>
      <c r="F12">
        <v>6.9538956999999901E-2</v>
      </c>
      <c r="G12">
        <v>0.58609643300000003</v>
      </c>
      <c r="H12">
        <v>0.11914034999999901</v>
      </c>
      <c r="I12">
        <v>0.672118726000002</v>
      </c>
      <c r="J12">
        <v>5.0355684829999898</v>
      </c>
      <c r="K12">
        <v>9.9512275350000099</v>
      </c>
      <c r="L12">
        <v>0.37515184299999899</v>
      </c>
      <c r="M12">
        <v>2.3844536E-2</v>
      </c>
      <c r="N12">
        <v>0.61086826699999996</v>
      </c>
      <c r="O12">
        <v>29.306426054999999</v>
      </c>
    </row>
    <row r="13" spans="1:15" x14ac:dyDescent="0.2">
      <c r="B13">
        <v>8</v>
      </c>
      <c r="C13">
        <v>2.5682871999999898E-2</v>
      </c>
      <c r="D13">
        <v>10.0932550689999</v>
      </c>
      <c r="E13">
        <v>2.3355567700000002</v>
      </c>
      <c r="F13">
        <v>6.9579199000000203E-2</v>
      </c>
      <c r="G13">
        <v>0.58595544200000105</v>
      </c>
      <c r="H13">
        <v>0.11927326299999901</v>
      </c>
      <c r="I13">
        <v>0.67227896499999895</v>
      </c>
      <c r="J13">
        <v>5.0231090989999903</v>
      </c>
      <c r="K13">
        <v>9.9506232679999993</v>
      </c>
      <c r="L13">
        <v>0.37516839699999899</v>
      </c>
      <c r="M13">
        <v>2.3715185999999899E-2</v>
      </c>
      <c r="N13">
        <v>0.58962568299999996</v>
      </c>
      <c r="O13">
        <v>29.292425865999999</v>
      </c>
    </row>
    <row r="14" spans="1:15" x14ac:dyDescent="0.2">
      <c r="B14">
        <v>9</v>
      </c>
      <c r="C14">
        <v>2.5864326999999899E-2</v>
      </c>
      <c r="D14">
        <v>10.100539513999999</v>
      </c>
      <c r="E14">
        <v>2.3363436459999898</v>
      </c>
      <c r="F14">
        <v>6.9665846000000003E-2</v>
      </c>
      <c r="G14">
        <v>0.58644216900000001</v>
      </c>
      <c r="H14">
        <v>0.119712631</v>
      </c>
      <c r="I14">
        <v>0.67236185500000001</v>
      </c>
      <c r="J14">
        <v>5.0264629949999904</v>
      </c>
      <c r="K14">
        <v>9.9527652489999898</v>
      </c>
      <c r="L14">
        <v>0.37620061999999999</v>
      </c>
      <c r="M14">
        <v>2.3802161999999901E-2</v>
      </c>
      <c r="N14">
        <v>0.59647256599999998</v>
      </c>
      <c r="O14">
        <v>29.308607068000001</v>
      </c>
    </row>
    <row r="15" spans="1:15" x14ac:dyDescent="0.2">
      <c r="B15" s="1" t="s">
        <v>21</v>
      </c>
      <c r="C15" s="1">
        <v>2.5699852099999899E-2</v>
      </c>
      <c r="D15" s="1">
        <v>10.0941187058999</v>
      </c>
      <c r="E15" s="1">
        <v>2.3350911164999899</v>
      </c>
      <c r="F15" s="1">
        <v>6.9504739900000001E-2</v>
      </c>
      <c r="G15" s="1">
        <v>0.58601875989999996</v>
      </c>
      <c r="H15" s="1">
        <v>0.11909431970000001</v>
      </c>
      <c r="I15" s="1">
        <v>0.6719217072</v>
      </c>
      <c r="J15" s="1">
        <v>5.0273797492999899</v>
      </c>
      <c r="K15" s="1">
        <v>9.9510771030999994</v>
      </c>
      <c r="L15" s="1">
        <v>0.37508046959999902</v>
      </c>
      <c r="M15" s="1">
        <v>2.3737580799999901E-2</v>
      </c>
      <c r="N15" s="1">
        <v>0.60076852670000003</v>
      </c>
      <c r="O15" s="1">
        <v>29.296997711900001</v>
      </c>
    </row>
    <row r="18" spans="2:7" x14ac:dyDescent="0.2">
      <c r="B18" s="4" t="s">
        <v>26</v>
      </c>
      <c r="C18" s="4"/>
      <c r="D18" s="4"/>
      <c r="E18" s="4"/>
      <c r="F18" s="4"/>
      <c r="G18" s="4"/>
    </row>
    <row r="19" spans="2:7" x14ac:dyDescent="0.2">
      <c r="B19" s="1" t="s">
        <v>27</v>
      </c>
      <c r="C19" s="1" t="s">
        <v>28</v>
      </c>
      <c r="D19" s="1" t="s">
        <v>29</v>
      </c>
      <c r="E19" s="1" t="s">
        <v>30</v>
      </c>
      <c r="F19" s="1" t="s">
        <v>16</v>
      </c>
      <c r="G19" s="1" t="s">
        <v>17</v>
      </c>
    </row>
    <row r="30" spans="2:7" x14ac:dyDescent="0.2">
      <c r="B30" s="1" t="s">
        <v>21</v>
      </c>
      <c r="C30" s="1"/>
      <c r="D30" s="1"/>
      <c r="E30" s="1"/>
      <c r="F30" s="1"/>
      <c r="G30" s="1"/>
    </row>
  </sheetData>
  <mergeCells count="2">
    <mergeCell ref="C3:O3"/>
    <mergeCell ref="B18:G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Summary_Results</vt:lpstr>
      <vt:lpstr>Trackslot_Xorwow</vt:lpstr>
      <vt:lpstr>Trackslot_Ranluxpp</vt:lpstr>
      <vt:lpstr>Track_Xorwow</vt:lpstr>
      <vt:lpstr>Track_Ranluxpp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Davidson, Gregory</dc:creator>
  <cp:lastModifiedBy>Davidson, Gregory</cp:lastModifiedBy>
  <dcterms:created xsi:type="dcterms:W3CDTF">2026-05-14T19:40:53Z</dcterms:created>
  <dcterms:modified xsi:type="dcterms:W3CDTF">2026-06-05T14:55:53Z</dcterms:modified>
</cp:coreProperties>
</file>