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qe/Codes/celeritas/analysis/celer_analysis/"/>
    </mc:Choice>
  </mc:AlternateContent>
  <xr:revisionPtr revIDLastSave="0" documentId="13_ncr:1_{00A87567-1EA1-4546-BBAC-E465585AE33D}" xr6:coauthVersionLast="47" xr6:coauthVersionMax="47" xr10:uidLastSave="{00000000-0000-0000-0000-000000000000}"/>
  <bookViews>
    <workbookView xWindow="54880" yWindow="1100" windowWidth="47520" windowHeight="26040" xr2:uid="{18F4029D-343F-3648-AF31-0004853598C3}"/>
  </bookViews>
  <sheets>
    <sheet name="Summary_Results" sheetId="1" r:id="rId1"/>
    <sheet name="Trackslot_Xorwow" sheetId="2" r:id="rId2"/>
    <sheet name="Trackslot_Ranluxpp" sheetId="3" r:id="rId3"/>
    <sheet name="Track_Xorwow" sheetId="4" r:id="rId4"/>
    <sheet name="Track_Ranluxp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F27" i="1" l="1"/>
  <c r="BE27" i="1"/>
  <c r="BC27" i="1"/>
  <c r="BB27" i="1"/>
  <c r="AZ27" i="1"/>
  <c r="AY27" i="1"/>
  <c r="AW27" i="1"/>
  <c r="AV27" i="1"/>
  <c r="AT27" i="1"/>
  <c r="AS27" i="1"/>
  <c r="AQ27" i="1"/>
  <c r="AP27" i="1"/>
  <c r="AN27" i="1"/>
  <c r="AM27" i="1"/>
  <c r="AK27" i="1"/>
  <c r="AJ27" i="1"/>
  <c r="AH27" i="1"/>
  <c r="AG27" i="1"/>
  <c r="AE27" i="1"/>
  <c r="AD27" i="1"/>
  <c r="AB27" i="1"/>
  <c r="AA27" i="1"/>
  <c r="Y27" i="1"/>
  <c r="X27" i="1"/>
  <c r="V27" i="1"/>
  <c r="U27" i="1"/>
  <c r="S27" i="1"/>
  <c r="R27" i="1"/>
  <c r="P27" i="1"/>
  <c r="O27" i="1"/>
  <c r="M27" i="1"/>
  <c r="L27" i="1"/>
  <c r="J27" i="1"/>
  <c r="I27" i="1"/>
  <c r="G27" i="1"/>
  <c r="F27" i="1"/>
  <c r="BG26" i="1"/>
  <c r="BG25" i="1"/>
  <c r="BD26" i="1"/>
  <c r="BD25" i="1"/>
  <c r="BA26" i="1"/>
  <c r="BA25" i="1"/>
  <c r="AX26" i="1"/>
  <c r="AX25" i="1"/>
  <c r="AU26" i="1"/>
  <c r="AU25" i="1"/>
  <c r="AR26" i="1"/>
  <c r="AR25" i="1"/>
  <c r="AO26" i="1"/>
  <c r="AO25" i="1"/>
  <c r="AL26" i="1"/>
  <c r="AL25" i="1"/>
  <c r="AI26" i="1"/>
  <c r="AI25" i="1"/>
  <c r="AF26" i="1"/>
  <c r="AF25" i="1"/>
  <c r="AC26" i="1"/>
  <c r="AC25" i="1"/>
  <c r="Z26" i="1"/>
  <c r="Z25" i="1"/>
  <c r="W26" i="1"/>
  <c r="W25" i="1"/>
  <c r="T26" i="1"/>
  <c r="T25" i="1"/>
  <c r="Q26" i="1"/>
  <c r="Q25" i="1"/>
  <c r="N26" i="1"/>
  <c r="N25" i="1"/>
  <c r="K26" i="1"/>
  <c r="K25" i="1"/>
  <c r="H26" i="1"/>
  <c r="H25" i="1"/>
  <c r="D27" i="1"/>
  <c r="C27" i="1"/>
  <c r="E26" i="1"/>
  <c r="E25" i="1"/>
  <c r="D6" i="1"/>
  <c r="C6" i="1"/>
  <c r="AN6" i="1"/>
  <c r="AM6" i="1"/>
  <c r="AK6" i="1"/>
  <c r="AJ6" i="1"/>
  <c r="AH6" i="1"/>
  <c r="AG6" i="1"/>
  <c r="AE6" i="1"/>
  <c r="AD6" i="1"/>
  <c r="AB6" i="1"/>
  <c r="AA6" i="1"/>
  <c r="Y6" i="1"/>
  <c r="X6" i="1"/>
  <c r="V6" i="1"/>
  <c r="U6" i="1"/>
  <c r="S6" i="1"/>
  <c r="R6" i="1"/>
  <c r="P6" i="1"/>
  <c r="O6" i="1"/>
  <c r="M6" i="1"/>
  <c r="L6" i="1"/>
  <c r="J6" i="1"/>
  <c r="I6" i="1"/>
  <c r="G6" i="1"/>
  <c r="F6" i="1"/>
  <c r="AO5" i="1"/>
  <c r="AO4" i="1"/>
  <c r="AL5" i="1"/>
  <c r="AL4" i="1"/>
  <c r="AI5" i="1"/>
  <c r="AI4" i="1"/>
  <c r="AF5" i="1"/>
  <c r="AF4" i="1"/>
  <c r="AC5" i="1"/>
  <c r="AC4" i="1"/>
  <c r="Z5" i="1"/>
  <c r="Z4" i="1"/>
  <c r="W5" i="1"/>
  <c r="W4" i="1"/>
  <c r="T5" i="1"/>
  <c r="T4" i="1"/>
  <c r="Q5" i="1"/>
  <c r="Q4" i="1"/>
  <c r="N5" i="1"/>
  <c r="N4" i="1"/>
  <c r="K5" i="1"/>
  <c r="K4" i="1"/>
  <c r="H5" i="1"/>
  <c r="H4" i="1"/>
  <c r="E5" i="1"/>
  <c r="E4" i="1"/>
</calcChain>
</file>

<file path=xl/sharedStrings.xml><?xml version="1.0" encoding="utf-8"?>
<sst xmlns="http://schemas.openxmlformats.org/spreadsheetml/2006/main" count="342" uniqueCount="58">
  <si>
    <t>Branch</t>
  </si>
  <si>
    <t>Commit</t>
  </si>
  <si>
    <t>Dune</t>
  </si>
  <si>
    <t>cbcaa74b6144045330ea7e34a78c81eb4d02b667</t>
  </si>
  <si>
    <t>develop</t>
  </si>
  <si>
    <t>absorption</t>
  </si>
  <si>
    <t>along-step</t>
  </si>
  <si>
    <t>locate-vacancies</t>
  </si>
  <si>
    <t>optical-boundary-init</t>
  </si>
  <si>
    <t>optical-boundary-post</t>
  </si>
  <si>
    <t>optical-discrete-select</t>
  </si>
  <si>
    <t>optical-rayleigh</t>
  </si>
  <si>
    <t>optical-surface-stepping</t>
  </si>
  <si>
    <t>pre-step</t>
  </si>
  <si>
    <t>primary-generate</t>
  </si>
  <si>
    <t>tracking-cut</t>
  </si>
  <si>
    <t>setup</t>
  </si>
  <si>
    <t>total</t>
  </si>
  <si>
    <t>XORWOW</t>
  </si>
  <si>
    <t>Ranlux++</t>
  </si>
  <si>
    <t>Run</t>
  </si>
  <si>
    <t>Average</t>
  </si>
  <si>
    <t xml:space="preserve">Average </t>
  </si>
  <si>
    <t>Rel Diff (%)</t>
  </si>
  <si>
    <t>Trackslot reseeding</t>
  </si>
  <si>
    <t>Track reseeding</t>
  </si>
  <si>
    <t>Atlas</t>
  </si>
  <si>
    <t>run</t>
  </si>
  <si>
    <t>along-step-neutral</t>
  </si>
  <si>
    <t>along-step-uniform-msc</t>
  </si>
  <si>
    <t>initialize-tracks</t>
  </si>
  <si>
    <t>6a97cc5300474f5feb5c4258abe22a77519818dc</t>
  </si>
  <si>
    <t>boundary-init</t>
  </si>
  <si>
    <t>boundary-post</t>
  </si>
  <si>
    <t>discrete-select</t>
  </si>
  <si>
    <t>rayleigh</t>
  </si>
  <si>
    <t>surface-physics</t>
  </si>
  <si>
    <t>kernel</t>
  </si>
  <si>
    <t>num_regs</t>
  </si>
  <si>
    <t>occupancy</t>
  </si>
  <si>
    <t>local_mem</t>
  </si>
  <si>
    <t>rng-reseed</t>
  </si>
  <si>
    <t>Track/Ranlux++</t>
  </si>
  <si>
    <t>Track/Xorwow</t>
  </si>
  <si>
    <t>Trackslot/Ranlux++</t>
  </si>
  <si>
    <t>Trackslot/Xorwow</t>
  </si>
  <si>
    <t>annihil-2-gamma</t>
  </si>
  <si>
    <t>brems-rel</t>
  </si>
  <si>
    <t>brems-sb</t>
  </si>
  <si>
    <t>conv-bethe-heitler</t>
  </si>
  <si>
    <t>extend-from-primaries</t>
  </si>
  <si>
    <t>extend-from-secondaries</t>
  </si>
  <si>
    <t>geo-boundary</t>
  </si>
  <si>
    <t>ioni-moller-bhabha</t>
  </si>
  <si>
    <t>photoel-livermore</t>
  </si>
  <si>
    <t>physics-discrete-select</t>
  </si>
  <si>
    <t>scat-klein-nishina</t>
  </si>
  <si>
    <t>scat-rayleigh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</si>
</sst>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500"/>
      <color rgb="FFFF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48BA-D8C3-7041-A0EE-B663A4811CD2}">
  <dimension ref="A1:BG35"/>
  <sheetViews>
    <sheetView tabSelected="1" zoomScale="150" zoomScaleNormal="150" workbookViewId="0">
      <selection activeCell="B30" sqref="B30"/>
    </sheetView>
  </sheetViews>
  <sheetFormatPr baseColWidth="10" defaultRowHeight="16" x14ac:dyDescent="0.2"/>
  <cols>
    <col min="2" max="2" width="22.33203125" customWidth="1"/>
    <col min="3" max="5" width="12.1640625" bestFit="1" customWidth="1"/>
    <col min="6" max="6" width="15.5" bestFit="1" customWidth="1"/>
    <col min="7" max="43" width="12.1640625" bestFit="1" customWidth="1"/>
    <col min="44" max="44" width="10.1640625" bestFit="1" customWidth="1"/>
    <col min="45" max="46" width="12.1640625" bestFit="1" customWidth="1"/>
    <col min="47" max="47" width="10.1640625" bestFit="1" customWidth="1"/>
    <col min="48" max="49" width="12.1640625" bestFit="1" customWidth="1"/>
    <col min="50" max="50" width="10.1640625" bestFit="1" customWidth="1"/>
    <col min="51" max="52" width="12.1640625" bestFit="1" customWidth="1"/>
    <col min="53" max="53" width="10.1640625" bestFit="1" customWidth="1"/>
    <col min="54" max="55" width="12.1640625" bestFit="1" customWidth="1"/>
    <col min="56" max="56" width="10.1640625" bestFit="1" customWidth="1"/>
    <col min="57" max="58" width="12.1640625" bestFit="1" customWidth="1"/>
    <col min="59" max="59" width="10.1640625" bestFit="1" customWidth="1"/>
  </cols>
  <sheetData>
    <row r="1" spans="1:41" x14ac:dyDescent="0.2">
      <c r="A1" s="1" t="s">
        <v>0</v>
      </c>
      <c r="B1" s="1" t="s">
        <v>1</v>
      </c>
      <c r="C1" s="6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x14ac:dyDescent="0.2">
      <c r="A2" t="s">
        <v>4</v>
      </c>
      <c r="B2" t="s">
        <v>31</v>
      </c>
      <c r="C2" s="6" t="s">
        <v>5</v>
      </c>
      <c r="D2" s="6"/>
      <c r="E2" s="6"/>
      <c r="F2" s="6" t="s">
        <v>6</v>
      </c>
      <c r="G2" s="6"/>
      <c r="H2" s="6"/>
      <c r="I2" s="6" t="s">
        <v>32</v>
      </c>
      <c r="J2" s="6"/>
      <c r="K2" s="6"/>
      <c r="L2" s="6" t="s">
        <v>33</v>
      </c>
      <c r="M2" s="6"/>
      <c r="N2" s="6"/>
      <c r="O2" s="6" t="s">
        <v>34</v>
      </c>
      <c r="P2" s="6"/>
      <c r="Q2" s="6"/>
      <c r="R2" s="6" t="s">
        <v>7</v>
      </c>
      <c r="S2" s="6"/>
      <c r="T2" s="6"/>
      <c r="U2" s="6" t="s">
        <v>13</v>
      </c>
      <c r="V2" s="6"/>
      <c r="W2" s="6"/>
      <c r="X2" s="6" t="s">
        <v>14</v>
      </c>
      <c r="Y2" s="6"/>
      <c r="Z2" s="6"/>
      <c r="AA2" s="6" t="s">
        <v>35</v>
      </c>
      <c r="AB2" s="6"/>
      <c r="AC2" s="6"/>
      <c r="AD2" s="6" t="s">
        <v>36</v>
      </c>
      <c r="AE2" s="6"/>
      <c r="AF2" s="6"/>
      <c r="AG2" s="6" t="s">
        <v>15</v>
      </c>
      <c r="AH2" s="6"/>
      <c r="AI2" s="6"/>
      <c r="AJ2" s="6" t="s">
        <v>16</v>
      </c>
      <c r="AK2" s="6"/>
      <c r="AL2" s="6"/>
      <c r="AM2" s="6" t="s">
        <v>17</v>
      </c>
      <c r="AN2" s="6"/>
      <c r="AO2" s="6"/>
    </row>
    <row r="3" spans="1:41" x14ac:dyDescent="0.2">
      <c r="C3" t="s">
        <v>18</v>
      </c>
      <c r="D3" t="s">
        <v>19</v>
      </c>
      <c r="E3" t="s">
        <v>23</v>
      </c>
      <c r="F3" t="s">
        <v>18</v>
      </c>
      <c r="G3" t="s">
        <v>19</v>
      </c>
      <c r="H3" t="s">
        <v>23</v>
      </c>
      <c r="I3" t="s">
        <v>18</v>
      </c>
      <c r="J3" t="s">
        <v>19</v>
      </c>
      <c r="K3" t="s">
        <v>23</v>
      </c>
      <c r="L3" t="s">
        <v>18</v>
      </c>
      <c r="M3" t="s">
        <v>19</v>
      </c>
      <c r="N3" t="s">
        <v>23</v>
      </c>
      <c r="O3" t="s">
        <v>18</v>
      </c>
      <c r="P3" t="s">
        <v>19</v>
      </c>
      <c r="Q3" t="s">
        <v>23</v>
      </c>
      <c r="R3" t="s">
        <v>18</v>
      </c>
      <c r="S3" t="s">
        <v>19</v>
      </c>
      <c r="T3" t="s">
        <v>23</v>
      </c>
      <c r="U3" t="s">
        <v>18</v>
      </c>
      <c r="V3" t="s">
        <v>19</v>
      </c>
      <c r="W3" t="s">
        <v>23</v>
      </c>
      <c r="X3" t="s">
        <v>18</v>
      </c>
      <c r="Y3" t="s">
        <v>19</v>
      </c>
      <c r="Z3" t="s">
        <v>23</v>
      </c>
      <c r="AA3" t="s">
        <v>18</v>
      </c>
      <c r="AB3" t="s">
        <v>19</v>
      </c>
      <c r="AC3" t="s">
        <v>23</v>
      </c>
      <c r="AD3" t="s">
        <v>18</v>
      </c>
      <c r="AE3" t="s">
        <v>19</v>
      </c>
      <c r="AF3" t="s">
        <v>23</v>
      </c>
      <c r="AG3" t="s">
        <v>18</v>
      </c>
      <c r="AH3" t="s">
        <v>19</v>
      </c>
      <c r="AI3" t="s">
        <v>23</v>
      </c>
      <c r="AJ3" t="s">
        <v>18</v>
      </c>
      <c r="AK3" t="s">
        <v>19</v>
      </c>
      <c r="AL3" t="s">
        <v>23</v>
      </c>
      <c r="AM3" t="s">
        <v>18</v>
      </c>
      <c r="AN3" t="s">
        <v>19</v>
      </c>
      <c r="AO3" t="s">
        <v>23</v>
      </c>
    </row>
    <row r="4" spans="1:41" x14ac:dyDescent="0.2">
      <c r="B4" s="1" t="s">
        <v>24</v>
      </c>
      <c r="C4">
        <v>2.5502058000000001E-2</v>
      </c>
      <c r="D4" s="2">
        <v>2.5704619599999898E-2</v>
      </c>
      <c r="E4">
        <f>((D4-C4)/C4)*100</f>
        <v>0.79429511139805808</v>
      </c>
      <c r="F4">
        <v>10.099553321999901</v>
      </c>
      <c r="G4" s="2">
        <v>10.0925216713</v>
      </c>
      <c r="H4">
        <f>((G4-F4)/F4)*100</f>
        <v>-6.9623383091443877E-2</v>
      </c>
      <c r="I4">
        <v>2.330985192</v>
      </c>
      <c r="J4" s="2">
        <v>2.3349653803999901</v>
      </c>
      <c r="K4">
        <f>((J4-I4)/I4)*100</f>
        <v>0.17075133783132793</v>
      </c>
      <c r="L4">
        <v>7.1190351000000096E-2</v>
      </c>
      <c r="M4" s="2">
        <v>6.9502298399999898E-2</v>
      </c>
      <c r="N4">
        <f>((M4-L4)/L4)*100</f>
        <v>-2.3711817350081552</v>
      </c>
      <c r="O4">
        <v>0.105847889</v>
      </c>
      <c r="P4" s="2">
        <v>0.58595583539999996</v>
      </c>
      <c r="Q4">
        <f>((P4-O4)/O4)*100</f>
        <v>453.58292067591447</v>
      </c>
      <c r="R4">
        <v>0.116869266999999</v>
      </c>
      <c r="S4" s="2">
        <v>0.1196328408</v>
      </c>
      <c r="T4">
        <f>((S4-R4)/R4)*100</f>
        <v>2.3646711158041445</v>
      </c>
      <c r="U4">
        <v>0.195518261</v>
      </c>
      <c r="V4" s="2">
        <v>0.67183863479999895</v>
      </c>
      <c r="W4">
        <f>((V4-U4)/U4)*100</f>
        <v>243.61937926606197</v>
      </c>
      <c r="X4">
        <v>1.9271281440000001</v>
      </c>
      <c r="Y4" s="2">
        <v>5.028672587</v>
      </c>
      <c r="Z4">
        <f>((Y4-X4)/X4)*100</f>
        <v>160.94126655025386</v>
      </c>
      <c r="AA4">
        <v>0.209259116999999</v>
      </c>
      <c r="AB4" s="2">
        <v>9.9499744934999903</v>
      </c>
      <c r="AC4">
        <f>((AB4-AA4)/AA4)*100</f>
        <v>4654.8583001523602</v>
      </c>
      <c r="AD4">
        <v>0.29808918699999898</v>
      </c>
      <c r="AE4" s="2">
        <v>0.37503557399999898</v>
      </c>
      <c r="AF4">
        <f>((AE4-AD4)/AD4)*100</f>
        <v>25.813209722364157</v>
      </c>
      <c r="AG4">
        <v>2.4367838999999999E-2</v>
      </c>
      <c r="AH4" s="2">
        <v>2.3758901599999899E-2</v>
      </c>
      <c r="AI4">
        <f>((AH4-AG4)/AG4)*100</f>
        <v>-2.4989388677432558</v>
      </c>
      <c r="AJ4">
        <v>0.61301483700000003</v>
      </c>
      <c r="AK4" s="2">
        <v>0.58678082080000005</v>
      </c>
      <c r="AL4">
        <f>((AK4-AJ4)/AJ4)*100</f>
        <v>-4.2795075447741544</v>
      </c>
      <c r="AM4">
        <v>15.422933222999999</v>
      </c>
      <c r="AN4" s="2">
        <v>29.295764520799999</v>
      </c>
      <c r="AO4">
        <f>((AN4-AM4)/AM4)*100</f>
        <v>89.949370182784989</v>
      </c>
    </row>
    <row r="5" spans="1:41" x14ac:dyDescent="0.2">
      <c r="B5" s="1" t="s">
        <v>25</v>
      </c>
      <c r="C5" s="2">
        <v>2.5521457199999899E-2</v>
      </c>
      <c r="D5" s="2">
        <v>2.5699852099999899E-2</v>
      </c>
      <c r="E5">
        <f>((D5-C5)/C5)*100</f>
        <v>0.69899966370259103</v>
      </c>
      <c r="F5" s="2">
        <v>10.0991415404999</v>
      </c>
      <c r="G5" s="2">
        <v>10.0941187058999</v>
      </c>
      <c r="H5">
        <f>((G5-F5)/F5)*100</f>
        <v>-4.97352629414822E-2</v>
      </c>
      <c r="I5" s="2">
        <v>2.3305051410000002</v>
      </c>
      <c r="J5" s="2">
        <v>2.3350911164999899</v>
      </c>
      <c r="K5">
        <f>((J5-I5)/I5)*100</f>
        <v>0.19678032111192567</v>
      </c>
      <c r="L5" s="2">
        <v>7.1178903799999901E-2</v>
      </c>
      <c r="M5" s="2">
        <v>6.9504739900000001E-2</v>
      </c>
      <c r="N5">
        <f>((M5-L5)/L5)*100</f>
        <v>-2.352050692862599</v>
      </c>
      <c r="O5" s="2">
        <v>0.10564063680000001</v>
      </c>
      <c r="P5" s="2">
        <v>0.58601875989999996</v>
      </c>
      <c r="Q5">
        <f>((P5-O5)/O5)*100</f>
        <v>454.72853785372098</v>
      </c>
      <c r="R5" s="2">
        <v>0.1165891476</v>
      </c>
      <c r="S5" s="2">
        <v>0.11909431970000001</v>
      </c>
      <c r="T5">
        <f>((S5-R5)/R5)*100</f>
        <v>2.1487180853186101</v>
      </c>
      <c r="U5" s="2">
        <v>0.1954054365</v>
      </c>
      <c r="V5" s="2">
        <v>0.6719217072</v>
      </c>
      <c r="W5">
        <f>((V5-U5)/U5)*100</f>
        <v>243.86029336496992</v>
      </c>
      <c r="X5" s="2">
        <v>1.9289283071999901</v>
      </c>
      <c r="Y5" s="2">
        <v>5.0273797492999899</v>
      </c>
      <c r="Z5">
        <f>((Y5-X5)/X5)*100</f>
        <v>160.6307207237617</v>
      </c>
      <c r="AA5" s="2">
        <v>0.2089056393</v>
      </c>
      <c r="AB5" s="2">
        <v>9.9510771030999994</v>
      </c>
      <c r="AC5">
        <f>((AB5-AA5)/AA5)*100</f>
        <v>4663.4315360964029</v>
      </c>
      <c r="AD5" s="2">
        <v>0.29732985619999902</v>
      </c>
      <c r="AE5" s="2">
        <v>0.37508046959999902</v>
      </c>
      <c r="AF5">
        <f>((AE5-AD5)/AD5)*100</f>
        <v>26.149615243381756</v>
      </c>
      <c r="AG5" s="2">
        <v>2.4375689799999999E-2</v>
      </c>
      <c r="AH5" s="2">
        <v>2.3737580799999901E-2</v>
      </c>
      <c r="AI5">
        <f>((AH5-AG5)/AG5)*100</f>
        <v>-2.6178089942714093</v>
      </c>
      <c r="AJ5" s="2">
        <v>0.61320205890000001</v>
      </c>
      <c r="AK5" s="2">
        <v>0.60076852670000003</v>
      </c>
      <c r="AL5">
        <f>((AK5-AJ5)/AJ5)*100</f>
        <v>-2.0276403217406069</v>
      </c>
      <c r="AM5" s="2">
        <v>15.422410439199901</v>
      </c>
      <c r="AN5" s="2">
        <v>29.296997711900001</v>
      </c>
      <c r="AO5">
        <f>((AN5-AM5)/AM5)*100</f>
        <v>89.963805122410562</v>
      </c>
    </row>
    <row r="6" spans="1:41" x14ac:dyDescent="0.2">
      <c r="B6" t="s">
        <v>23</v>
      </c>
      <c r="C6">
        <f>((C5-C4)/C4)*100</f>
        <v>7.6069154888983442E-2</v>
      </c>
      <c r="D6">
        <f>((D5-D4)/D4)*100</f>
        <v>-1.8547249771395283E-2</v>
      </c>
      <c r="E6" s="3"/>
      <c r="F6">
        <f>((F4-F5)/F4)*100</f>
        <v>4.0772248719499748E-3</v>
      </c>
      <c r="G6">
        <f>((G4-G5)/G4)*100</f>
        <v>-1.5823940259069226E-2</v>
      </c>
      <c r="H6" s="3"/>
      <c r="I6">
        <f>((I4-I5)/I4)*100</f>
        <v>2.0594339322590378E-2</v>
      </c>
      <c r="J6">
        <f>((J4-J5)/J4)*100</f>
        <v>-5.3849235220024749E-3</v>
      </c>
      <c r="K6" s="3"/>
      <c r="L6">
        <f>((L4-L5)/L4)*100</f>
        <v>1.6079707206661627E-2</v>
      </c>
      <c r="M6">
        <f>((M4-M5)/M4)*100</f>
        <v>-3.5128334692636357E-3</v>
      </c>
      <c r="N6" s="3"/>
      <c r="O6">
        <f>((O4-O5)/O4)*100</f>
        <v>0.19580192100004357</v>
      </c>
      <c r="P6">
        <f>((P4-P5)/P4)*100</f>
        <v>-1.0738778624339577E-2</v>
      </c>
      <c r="Q6" s="3"/>
      <c r="R6">
        <f>((R4-R5)/R4)*100</f>
        <v>0.23968611012081037</v>
      </c>
      <c r="S6">
        <f>((S4-S5)/S4)*100</f>
        <v>0.45014487359727939</v>
      </c>
      <c r="T6" s="3"/>
      <c r="U6">
        <f>((U4-U5)/U4)*100</f>
        <v>5.770535162441795E-2</v>
      </c>
      <c r="V6">
        <f>((V4-V5)/V4)*100</f>
        <v>-1.2364933437592445E-2</v>
      </c>
      <c r="W6" s="3"/>
      <c r="X6">
        <f>((X4-X5)/X4)*100</f>
        <v>-9.3411702049741335E-2</v>
      </c>
      <c r="Y6">
        <f>((Y4-Y5)/Y4)*100</f>
        <v>2.5709323437606749E-2</v>
      </c>
      <c r="Z6" s="3"/>
      <c r="AA6">
        <f>((AA4-AA5)/AA4)*100</f>
        <v>0.16891866173696787</v>
      </c>
      <c r="AB6">
        <f>((AB4-AB5)/AB4)*100</f>
        <v>-1.1081531924824282E-2</v>
      </c>
      <c r="AC6" s="3"/>
      <c r="AD6">
        <f>((AD4-AD5)/AD4)*100</f>
        <v>0.25473275553600011</v>
      </c>
      <c r="AE6">
        <f>((AE4-AE5)/AE4)*100</f>
        <v>-1.1971024380753549E-2</v>
      </c>
      <c r="AF6" s="3"/>
      <c r="AG6">
        <f>((AG4-AG5)/AG4)*100</f>
        <v>-3.2217875372537105E-2</v>
      </c>
      <c r="AH6">
        <f>((AH4-AH5)/AH4)*100</f>
        <v>8.9738155235251485E-2</v>
      </c>
      <c r="AI6" s="3"/>
      <c r="AJ6">
        <f>((AJ4-AJ5)/AJ4)*100</f>
        <v>-3.0541169430125657E-2</v>
      </c>
      <c r="AK6">
        <f>((AK4-AK5)/AK4)*100</f>
        <v>-2.3838042083464051</v>
      </c>
      <c r="AL6" s="3"/>
      <c r="AM6">
        <f>((AM4-AM5)/AM4)*100</f>
        <v>3.3896522311275797E-3</v>
      </c>
      <c r="AN6">
        <f>((AN4-AN5)/AN4)*100</f>
        <v>-4.2094518445728313E-3</v>
      </c>
      <c r="AO6" s="3"/>
    </row>
    <row r="9" spans="1:41" x14ac:dyDescent="0.2">
      <c r="B9" s="7" t="s">
        <v>42</v>
      </c>
      <c r="C9" s="7"/>
      <c r="D9" s="7"/>
      <c r="E9" s="7"/>
      <c r="F9" s="7" t="s">
        <v>43</v>
      </c>
      <c r="G9" s="7"/>
      <c r="H9" s="7"/>
      <c r="I9" s="7"/>
    </row>
    <row r="10" spans="1:41" x14ac:dyDescent="0.2">
      <c r="B10" s="1" t="s">
        <v>37</v>
      </c>
      <c r="C10" s="1" t="s">
        <v>38</v>
      </c>
      <c r="D10" s="1" t="s">
        <v>39</v>
      </c>
      <c r="E10" s="1" t="s">
        <v>40</v>
      </c>
      <c r="F10" s="1" t="s">
        <v>37</v>
      </c>
      <c r="G10" s="1" t="s">
        <v>38</v>
      </c>
      <c r="H10" s="1" t="s">
        <v>39</v>
      </c>
      <c r="I10" s="1" t="s">
        <v>40</v>
      </c>
      <c r="R10" s="1"/>
      <c r="S10" s="1"/>
      <c r="T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x14ac:dyDescent="0.2">
      <c r="B11" s="1" t="s">
        <v>41</v>
      </c>
      <c r="C11">
        <v>104</v>
      </c>
      <c r="D11">
        <v>0.25</v>
      </c>
      <c r="E11">
        <v>0</v>
      </c>
    </row>
    <row r="12" spans="1:41" x14ac:dyDescent="0.2">
      <c r="B12" s="1" t="s">
        <v>14</v>
      </c>
      <c r="C12">
        <v>128</v>
      </c>
      <c r="D12">
        <v>0.25</v>
      </c>
      <c r="E12">
        <v>144</v>
      </c>
      <c r="F12" t="s">
        <v>14</v>
      </c>
      <c r="G12">
        <v>64</v>
      </c>
      <c r="H12">
        <v>0.5</v>
      </c>
      <c r="I12">
        <v>152</v>
      </c>
      <c r="J12" s="1"/>
      <c r="K12" s="1"/>
      <c r="L12" s="1"/>
    </row>
    <row r="13" spans="1:41" x14ac:dyDescent="0.2">
      <c r="B13" s="1" t="s">
        <v>13</v>
      </c>
      <c r="C13">
        <v>64</v>
      </c>
      <c r="D13">
        <v>0.5</v>
      </c>
      <c r="E13">
        <v>8</v>
      </c>
      <c r="F13" t="s">
        <v>13</v>
      </c>
      <c r="G13">
        <v>47</v>
      </c>
      <c r="H13">
        <v>0.625</v>
      </c>
      <c r="I13">
        <v>0</v>
      </c>
    </row>
    <row r="14" spans="1:41" x14ac:dyDescent="0.2">
      <c r="B14" s="1" t="s">
        <v>35</v>
      </c>
      <c r="C14">
        <v>110</v>
      </c>
      <c r="D14">
        <v>0.25</v>
      </c>
      <c r="E14">
        <v>64</v>
      </c>
      <c r="F14" t="s">
        <v>35</v>
      </c>
      <c r="G14">
        <v>48</v>
      </c>
      <c r="H14">
        <v>0.625</v>
      </c>
      <c r="I14">
        <v>64</v>
      </c>
      <c r="T14" s="2"/>
      <c r="AB14" s="1"/>
      <c r="AC14" s="1"/>
      <c r="AD14" s="1"/>
    </row>
    <row r="15" spans="1:41" x14ac:dyDescent="0.2">
      <c r="B15" s="7" t="s">
        <v>44</v>
      </c>
      <c r="C15" s="7"/>
      <c r="D15" s="7"/>
      <c r="E15" s="7"/>
      <c r="F15" s="7" t="s">
        <v>45</v>
      </c>
      <c r="G15" s="7"/>
      <c r="H15" s="7"/>
      <c r="I15" s="7"/>
    </row>
    <row r="16" spans="1:41" x14ac:dyDescent="0.2">
      <c r="B16" s="5" t="s">
        <v>37</v>
      </c>
      <c r="C16" s="5" t="s">
        <v>38</v>
      </c>
      <c r="D16" s="5" t="s">
        <v>39</v>
      </c>
      <c r="E16" s="5" t="s">
        <v>40</v>
      </c>
      <c r="F16" s="1" t="s">
        <v>37</v>
      </c>
      <c r="G16" s="1" t="s">
        <v>38</v>
      </c>
      <c r="H16" s="1" t="s">
        <v>39</v>
      </c>
      <c r="I16" s="1" t="s">
        <v>40</v>
      </c>
    </row>
    <row r="17" spans="2:59" x14ac:dyDescent="0.2">
      <c r="B17" s="5" t="s">
        <v>41</v>
      </c>
      <c r="C17" s="4">
        <v>104</v>
      </c>
      <c r="D17" s="4">
        <v>0.25</v>
      </c>
      <c r="E17" s="4">
        <v>0</v>
      </c>
    </row>
    <row r="18" spans="2:59" x14ac:dyDescent="0.2">
      <c r="B18" s="5" t="s">
        <v>14</v>
      </c>
      <c r="C18" s="4">
        <v>128</v>
      </c>
      <c r="D18" s="4">
        <v>0.25</v>
      </c>
      <c r="E18" s="4">
        <v>144</v>
      </c>
      <c r="F18" s="1" t="s">
        <v>14</v>
      </c>
      <c r="G18">
        <v>64</v>
      </c>
      <c r="H18">
        <v>0.5</v>
      </c>
      <c r="I18">
        <v>152</v>
      </c>
    </row>
    <row r="19" spans="2:59" x14ac:dyDescent="0.2">
      <c r="B19" s="5" t="s">
        <v>13</v>
      </c>
      <c r="C19" s="4">
        <v>64</v>
      </c>
      <c r="D19" s="4">
        <v>0.5</v>
      </c>
      <c r="E19" s="4">
        <v>8</v>
      </c>
      <c r="F19" s="1" t="s">
        <v>13</v>
      </c>
      <c r="G19">
        <v>47</v>
      </c>
      <c r="H19">
        <v>0.625</v>
      </c>
      <c r="I19">
        <v>0</v>
      </c>
    </row>
    <row r="20" spans="2:59" x14ac:dyDescent="0.2">
      <c r="B20" s="5" t="s">
        <v>35</v>
      </c>
      <c r="C20" s="4">
        <v>110</v>
      </c>
      <c r="D20" s="4">
        <v>0.25</v>
      </c>
      <c r="E20" s="4">
        <v>64</v>
      </c>
      <c r="F20" s="1" t="s">
        <v>35</v>
      </c>
      <c r="G20">
        <v>48</v>
      </c>
      <c r="H20">
        <v>0.625</v>
      </c>
      <c r="I20">
        <v>64</v>
      </c>
    </row>
    <row r="22" spans="2:59" x14ac:dyDescent="0.2">
      <c r="C22" s="6" t="s">
        <v>26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2:59" x14ac:dyDescent="0.2">
      <c r="C23" s="6" t="s">
        <v>28</v>
      </c>
      <c r="D23" s="6"/>
      <c r="E23" s="6"/>
      <c r="F23" s="6" t="s">
        <v>29</v>
      </c>
      <c r="G23" s="6"/>
      <c r="H23" s="6"/>
      <c r="I23" s="6" t="s">
        <v>46</v>
      </c>
      <c r="J23" s="6"/>
      <c r="K23" s="6"/>
      <c r="L23" s="6" t="s">
        <v>47</v>
      </c>
      <c r="M23" s="6"/>
      <c r="N23" s="6"/>
      <c r="O23" s="6" t="s">
        <v>48</v>
      </c>
      <c r="P23" s="6"/>
      <c r="Q23" s="6"/>
      <c r="R23" s="6" t="s">
        <v>49</v>
      </c>
      <c r="S23" s="6"/>
      <c r="T23" s="6"/>
      <c r="U23" s="6" t="s">
        <v>50</v>
      </c>
      <c r="V23" s="6"/>
      <c r="W23" s="6"/>
      <c r="X23" s="6" t="s">
        <v>51</v>
      </c>
      <c r="Y23" s="6"/>
      <c r="Z23" s="6"/>
      <c r="AA23" s="6" t="s">
        <v>52</v>
      </c>
      <c r="AB23" s="6"/>
      <c r="AC23" s="6"/>
      <c r="AD23" s="6" t="s">
        <v>30</v>
      </c>
      <c r="AE23" s="6"/>
      <c r="AF23" s="6"/>
      <c r="AG23" s="6" t="s">
        <v>53</v>
      </c>
      <c r="AH23" s="6"/>
      <c r="AI23" s="6"/>
      <c r="AJ23" s="6" t="s">
        <v>54</v>
      </c>
      <c r="AK23" s="6"/>
      <c r="AL23" s="6"/>
      <c r="AM23" s="6" t="s">
        <v>55</v>
      </c>
      <c r="AN23" s="6"/>
      <c r="AO23" s="6"/>
      <c r="AP23" s="6" t="s">
        <v>13</v>
      </c>
      <c r="AQ23" s="6"/>
      <c r="AR23" s="6"/>
      <c r="AS23" s="6" t="s">
        <v>56</v>
      </c>
      <c r="AT23" s="6"/>
      <c r="AU23" s="6"/>
      <c r="AV23" s="6" t="s">
        <v>57</v>
      </c>
      <c r="AW23" s="6"/>
      <c r="AX23" s="6"/>
      <c r="AY23" s="6" t="s">
        <v>15</v>
      </c>
      <c r="AZ23" s="6"/>
      <c r="BA23" s="6"/>
      <c r="BB23" s="6" t="s">
        <v>16</v>
      </c>
      <c r="BC23" s="6"/>
      <c r="BD23" s="6"/>
      <c r="BE23" s="6" t="s">
        <v>17</v>
      </c>
      <c r="BF23" s="6"/>
      <c r="BG23" s="6"/>
    </row>
    <row r="24" spans="2:59" x14ac:dyDescent="0.2">
      <c r="B24" s="1"/>
      <c r="C24" t="s">
        <v>18</v>
      </c>
      <c r="D24" t="s">
        <v>19</v>
      </c>
      <c r="E24" t="s">
        <v>23</v>
      </c>
      <c r="F24" t="s">
        <v>18</v>
      </c>
      <c r="G24" t="s">
        <v>19</v>
      </c>
      <c r="H24" t="s">
        <v>23</v>
      </c>
      <c r="I24" t="s">
        <v>18</v>
      </c>
      <c r="J24" t="s">
        <v>19</v>
      </c>
      <c r="K24" t="s">
        <v>23</v>
      </c>
      <c r="L24" t="s">
        <v>18</v>
      </c>
      <c r="M24" t="s">
        <v>19</v>
      </c>
      <c r="N24" t="s">
        <v>23</v>
      </c>
      <c r="O24" t="s">
        <v>18</v>
      </c>
      <c r="P24" t="s">
        <v>19</v>
      </c>
      <c r="Q24" t="s">
        <v>23</v>
      </c>
      <c r="R24" t="s">
        <v>18</v>
      </c>
      <c r="S24" t="s">
        <v>19</v>
      </c>
      <c r="T24" t="s">
        <v>23</v>
      </c>
      <c r="U24" t="s">
        <v>18</v>
      </c>
      <c r="V24" t="s">
        <v>19</v>
      </c>
      <c r="W24" t="s">
        <v>23</v>
      </c>
      <c r="X24" t="s">
        <v>18</v>
      </c>
      <c r="Y24" t="s">
        <v>19</v>
      </c>
      <c r="Z24" t="s">
        <v>23</v>
      </c>
      <c r="AA24" t="s">
        <v>18</v>
      </c>
      <c r="AB24" t="s">
        <v>19</v>
      </c>
      <c r="AC24" t="s">
        <v>23</v>
      </c>
      <c r="AD24" t="s">
        <v>18</v>
      </c>
      <c r="AE24" t="s">
        <v>19</v>
      </c>
      <c r="AF24" t="s">
        <v>23</v>
      </c>
      <c r="AG24" t="s">
        <v>18</v>
      </c>
      <c r="AH24" t="s">
        <v>19</v>
      </c>
      <c r="AI24" t="s">
        <v>23</v>
      </c>
      <c r="AJ24" t="s">
        <v>18</v>
      </c>
      <c r="AK24" t="s">
        <v>19</v>
      </c>
      <c r="AL24" t="s">
        <v>23</v>
      </c>
      <c r="AM24" t="s">
        <v>18</v>
      </c>
      <c r="AN24" t="s">
        <v>19</v>
      </c>
      <c r="AO24" t="s">
        <v>23</v>
      </c>
      <c r="AP24" t="s">
        <v>18</v>
      </c>
      <c r="AQ24" t="s">
        <v>19</v>
      </c>
      <c r="AR24" t="s">
        <v>23</v>
      </c>
      <c r="AS24" t="s">
        <v>18</v>
      </c>
      <c r="AT24" t="s">
        <v>19</v>
      </c>
      <c r="AU24" t="s">
        <v>23</v>
      </c>
      <c r="AV24" t="s">
        <v>18</v>
      </c>
      <c r="AW24" t="s">
        <v>19</v>
      </c>
      <c r="AX24" t="s">
        <v>23</v>
      </c>
      <c r="AY24" t="s">
        <v>18</v>
      </c>
      <c r="AZ24" t="s">
        <v>19</v>
      </c>
      <c r="BA24" t="s">
        <v>23</v>
      </c>
      <c r="BB24" t="s">
        <v>18</v>
      </c>
      <c r="BC24" t="s">
        <v>19</v>
      </c>
      <c r="BD24" t="s">
        <v>23</v>
      </c>
      <c r="BE24" t="s">
        <v>18</v>
      </c>
      <c r="BF24" t="s">
        <v>19</v>
      </c>
      <c r="BG24" t="s">
        <v>23</v>
      </c>
    </row>
    <row r="25" spans="2:59" x14ac:dyDescent="0.2">
      <c r="B25" s="1" t="s">
        <v>24</v>
      </c>
      <c r="C25" s="2">
        <v>7.4008092825999903</v>
      </c>
      <c r="D25">
        <v>7.2122729741999896</v>
      </c>
      <c r="E25">
        <f>((D25-C25)/C25)*100</f>
        <v>-2.5475093493257224</v>
      </c>
      <c r="F25" s="2">
        <v>22.1151813416</v>
      </c>
      <c r="G25">
        <v>22.767367824899999</v>
      </c>
      <c r="H25">
        <f>((G25-F25)/F25)*100</f>
        <v>2.9490442480487244</v>
      </c>
      <c r="I25" s="2">
        <v>1.21111953E-2</v>
      </c>
      <c r="J25">
        <v>2.2874528799999998E-2</v>
      </c>
      <c r="K25">
        <f>((J25-I25)/I25)*100</f>
        <v>88.870943233819361</v>
      </c>
      <c r="L25" s="2">
        <v>1.29574681999999E-2</v>
      </c>
      <c r="M25">
        <v>1.8315065500000002E-2</v>
      </c>
      <c r="N25">
        <f>((M25-L25)/L25)*100</f>
        <v>41.347562790083813</v>
      </c>
      <c r="O25" s="2">
        <v>2.1905743099999899E-2</v>
      </c>
      <c r="P25">
        <v>0.1480761901</v>
      </c>
      <c r="Q25">
        <f>((P25-O25)/O25)*100</f>
        <v>575.96971910074433</v>
      </c>
      <c r="R25" s="2">
        <v>1.47182786999999E-2</v>
      </c>
      <c r="S25">
        <v>6.6810606999999994E-2</v>
      </c>
      <c r="T25">
        <f>((S25-R25)/R25)*100</f>
        <v>353.92948701263856</v>
      </c>
      <c r="U25" s="2">
        <v>2.2763139799999998E-2</v>
      </c>
      <c r="V25">
        <v>2.1449032600000001E-2</v>
      </c>
      <c r="W25">
        <f>((V25-U25)/U25)*100</f>
        <v>-5.7729610745526312</v>
      </c>
      <c r="X25" s="2">
        <v>9.3427465799999998E-2</v>
      </c>
      <c r="Y25">
        <v>8.9015558499999994E-2</v>
      </c>
      <c r="Z25">
        <f>((Y25-X25)/X25)*100</f>
        <v>-4.7222808220492301</v>
      </c>
      <c r="AA25" s="2">
        <v>1.0199779689999999</v>
      </c>
      <c r="AB25">
        <v>1.0148098673999999</v>
      </c>
      <c r="AC25">
        <f>((AB25-AA25)/AA25)*100</f>
        <v>-0.50668757140577325</v>
      </c>
      <c r="AD25" s="2">
        <v>1.4899430571999901</v>
      </c>
      <c r="AE25">
        <v>1.4990287536</v>
      </c>
      <c r="AF25">
        <f>((AE25-AD25)/AD25)*100</f>
        <v>0.60980158645018256</v>
      </c>
      <c r="AG25" s="2">
        <v>1.8267769900000001E-2</v>
      </c>
      <c r="AH25">
        <v>5.7735948999999898E-2</v>
      </c>
      <c r="AI25">
        <f>((AH25-AG25)/AG25)*100</f>
        <v>216.0536251335194</v>
      </c>
      <c r="AJ25" s="2">
        <v>3.2007168499999898E-2</v>
      </c>
      <c r="AK25">
        <v>0.12613044439999899</v>
      </c>
      <c r="AL25">
        <f>((AK25-AJ25)/AJ25)*100</f>
        <v>294.06936105578779</v>
      </c>
      <c r="AM25" s="2">
        <v>2.32702768999999E-2</v>
      </c>
      <c r="AN25">
        <v>5.4066336E-2</v>
      </c>
      <c r="AO25">
        <f>((AN25-AM25)/AM25)*100</f>
        <v>132.34075053056301</v>
      </c>
      <c r="AP25" s="2">
        <v>4.90874935999999E-2</v>
      </c>
      <c r="AQ25">
        <v>5.9640913999999899E-2</v>
      </c>
      <c r="AR25">
        <f>((AQ25-AP25)/AP25)*100</f>
        <v>21.499204025360996</v>
      </c>
      <c r="AS25" s="2">
        <v>1.68652153E-2</v>
      </c>
      <c r="AT25">
        <v>0.10740220139999899</v>
      </c>
      <c r="AU25">
        <f>((AT25-AS25)/AS25)*100</f>
        <v>536.826743623006</v>
      </c>
      <c r="AV25" s="2">
        <v>1.5960736999999899E-2</v>
      </c>
      <c r="AW25">
        <v>3.1303208699999897E-2</v>
      </c>
      <c r="AX25">
        <f>((AW25-AV25)/AV25)*100</f>
        <v>96.126336146006892</v>
      </c>
      <c r="AY25" s="2">
        <v>1.0287948999999999E-2</v>
      </c>
      <c r="AZ25">
        <v>9.6928289999999896E-3</v>
      </c>
      <c r="BA25">
        <f>((AZ25-AY25)/AY25)*100</f>
        <v>-5.7846320972237502</v>
      </c>
      <c r="BB25" s="2">
        <v>44.704140538099999</v>
      </c>
      <c r="BC25">
        <v>44.549388440100003</v>
      </c>
      <c r="BD25">
        <f>((BC25-BB25)/BB25)*100</f>
        <v>-0.3461694960181716</v>
      </c>
      <c r="BE25" s="2">
        <v>32.4013560924</v>
      </c>
      <c r="BF25">
        <v>33.336419790800001</v>
      </c>
      <c r="BG25">
        <f>((BF25-BE25)/BE25)*100</f>
        <v>2.8858782815554043</v>
      </c>
    </row>
    <row r="26" spans="2:59" x14ac:dyDescent="0.2">
      <c r="B26" s="1" t="s">
        <v>25</v>
      </c>
      <c r="C26" s="2">
        <v>7.3528032847000002</v>
      </c>
      <c r="D26" s="2">
        <v>7.2445842304000001</v>
      </c>
      <c r="E26">
        <f>((D26-C26)/C26)*100</f>
        <v>-1.471806739685074</v>
      </c>
      <c r="F26" s="2">
        <v>21.197617295099999</v>
      </c>
      <c r="G26" s="2">
        <v>23.122796592</v>
      </c>
      <c r="H26">
        <f>((G26-F26)/F26)*100</f>
        <v>9.0820551673278036</v>
      </c>
      <c r="I26" s="2">
        <v>1.08884372E-2</v>
      </c>
      <c r="J26" s="2">
        <v>2.25079043999999E-2</v>
      </c>
      <c r="K26">
        <f>((J26-I26)/I26)*100</f>
        <v>106.7138193165122</v>
      </c>
      <c r="L26" s="2">
        <v>1.15906108999999E-2</v>
      </c>
      <c r="M26" s="2">
        <v>1.7997197900000001E-2</v>
      </c>
      <c r="N26">
        <f>((M26-L26)/L26)*100</f>
        <v>55.273937286602859</v>
      </c>
      <c r="O26" s="2">
        <v>2.06510244999999E-2</v>
      </c>
      <c r="P26" s="2">
        <v>0.14663842560000001</v>
      </c>
      <c r="Q26">
        <f>((P26-O26)/O26)*100</f>
        <v>610.07821234244682</v>
      </c>
      <c r="R26" s="2">
        <v>1.33587209999999E-2</v>
      </c>
      <c r="S26" s="2">
        <v>5.0837415999999899E-2</v>
      </c>
      <c r="T26">
        <f>((S26-R26)/R26)*100</f>
        <v>280.55601280991107</v>
      </c>
      <c r="U26" s="2">
        <v>2.00944897999999E-2</v>
      </c>
      <c r="V26" s="2">
        <v>2.16744125E-2</v>
      </c>
      <c r="W26">
        <f>((V26-U26)/U26)*100</f>
        <v>7.8624673516224748</v>
      </c>
      <c r="X26" s="2">
        <v>0.1244133635</v>
      </c>
      <c r="Y26" s="2">
        <v>0.138448987699999</v>
      </c>
      <c r="Z26">
        <f>((Y26-X26)/X26)*100</f>
        <v>11.28144421559586</v>
      </c>
      <c r="AA26" s="2">
        <v>1.0282810059999901</v>
      </c>
      <c r="AB26" s="2">
        <v>1.0113813036999999</v>
      </c>
      <c r="AC26">
        <f>((AB26-AA26)/AA26)*100</f>
        <v>-1.6434906607611037</v>
      </c>
      <c r="AD26" s="2">
        <v>1.4782004491</v>
      </c>
      <c r="AE26" s="2">
        <v>1.4921633096</v>
      </c>
      <c r="AF26">
        <f>((AE26-AD26)/AD26)*100</f>
        <v>0.94458505329917986</v>
      </c>
      <c r="AG26" s="2">
        <v>1.67744877E-2</v>
      </c>
      <c r="AH26" s="2">
        <v>5.7177692699999998E-2</v>
      </c>
      <c r="AI26">
        <f>((AH26-AG26)/AG26)*100</f>
        <v>240.86103684704477</v>
      </c>
      <c r="AJ26" s="2">
        <v>3.0561777599999899E-2</v>
      </c>
      <c r="AK26" s="2">
        <v>8.8825367599999899E-2</v>
      </c>
      <c r="AL26">
        <f>((AK26-AJ26)/AJ26)*100</f>
        <v>190.6420194615911</v>
      </c>
      <c r="AM26" s="2">
        <v>2.1590369700000001E-2</v>
      </c>
      <c r="AN26" s="2">
        <v>5.0319302199999902E-2</v>
      </c>
      <c r="AO26">
        <f>((AN26-AM26)/AM26)*100</f>
        <v>133.06364318532212</v>
      </c>
      <c r="AP26" s="2">
        <v>4.4852247800000002E-2</v>
      </c>
      <c r="AQ26" s="2">
        <v>5.7722189100000001E-2</v>
      </c>
      <c r="AR26">
        <f>((AQ26-AP26)/AP26)*100</f>
        <v>28.69408319821153</v>
      </c>
      <c r="AS26" s="2">
        <v>1.5670265100000001E-2</v>
      </c>
      <c r="AT26" s="2">
        <v>4.8876895999999899E-2</v>
      </c>
      <c r="AU26">
        <f>((AT26-AS26)/AS26)*100</f>
        <v>211.90854582287758</v>
      </c>
      <c r="AV26" s="2">
        <v>1.45943386999999E-2</v>
      </c>
      <c r="AW26" s="2">
        <v>2.6764942699999999E-2</v>
      </c>
      <c r="AX26">
        <f>((AW26-AV26)/AV26)*100</f>
        <v>83.39263772191461</v>
      </c>
      <c r="AY26" s="2">
        <v>9.0732243999999997E-3</v>
      </c>
      <c r="AZ26" s="2">
        <v>9.79943499999999E-3</v>
      </c>
      <c r="BA26">
        <f>((AZ26-AY26)/AY26)*100</f>
        <v>8.003886688837877</v>
      </c>
      <c r="BB26" s="2">
        <v>44.633564197200002</v>
      </c>
      <c r="BC26" s="2">
        <v>44.801128778600003</v>
      </c>
      <c r="BD26">
        <f>((BC26-BB26)/BB26)*100</f>
        <v>0.37542281109271675</v>
      </c>
      <c r="BE26" s="2">
        <v>31.439556519</v>
      </c>
      <c r="BF26" s="2">
        <v>33.639414801400001</v>
      </c>
      <c r="BG26">
        <f>((BF26-BE26)/BE26)*100</f>
        <v>6.9971034135629466</v>
      </c>
    </row>
    <row r="27" spans="2:59" x14ac:dyDescent="0.2">
      <c r="B27" t="s">
        <v>23</v>
      </c>
      <c r="C27">
        <f>((C26-C25)/C25)*100</f>
        <v>-0.64865876239854925</v>
      </c>
      <c r="D27">
        <f>((D26-D25)/D25)*100</f>
        <v>0.44800378903565552</v>
      </c>
      <c r="E27" s="3"/>
      <c r="F27">
        <f>((F26-F25)/F25)*100</f>
        <v>-4.1490233895301918</v>
      </c>
      <c r="G27">
        <f>((G26-G25)/G25)*100</f>
        <v>1.5611324498885601</v>
      </c>
      <c r="H27" s="3"/>
      <c r="I27">
        <f>((I26-I25)/I25)*100</f>
        <v>-10.096097616392994</v>
      </c>
      <c r="J27">
        <f>((J26-J25)/J25)*100</f>
        <v>-1.6027626326453486</v>
      </c>
      <c r="K27" s="3"/>
      <c r="L27">
        <f>((L26-L25)/L25)*100</f>
        <v>-10.548799185939814</v>
      </c>
      <c r="M27">
        <f>((M26-M25)/M25)*100</f>
        <v>-1.7355526246957755</v>
      </c>
      <c r="N27" s="3"/>
      <c r="O27">
        <f>((O26-O25)/O25)*100</f>
        <v>-5.7278066042872808</v>
      </c>
      <c r="P27">
        <f>((P26-P25)/P25)*100</f>
        <v>-0.9709626503957397</v>
      </c>
      <c r="Q27" s="3"/>
      <c r="R27">
        <f>((R26-R25)/R25)*100</f>
        <v>-9.2372058425555501</v>
      </c>
      <c r="S27">
        <f>((S26-S25)/S25)*100</f>
        <v>-23.908166258690176</v>
      </c>
      <c r="T27" s="3"/>
      <c r="U27">
        <f>((U26-U25)/U25)*100</f>
        <v>-11.723558452160887</v>
      </c>
      <c r="V27">
        <f>((V26-V25)/V25)*100</f>
        <v>1.050769534473081</v>
      </c>
      <c r="W27" s="3"/>
      <c r="X27">
        <f>((X26-X25)/X25)*100</f>
        <v>33.165726411044325</v>
      </c>
      <c r="Y27">
        <f>((Y26-Y25)/Y25)*100</f>
        <v>55.533470814541943</v>
      </c>
      <c r="Z27" s="3"/>
      <c r="AA27">
        <f>((AA26-AA25)/AA25)*100</f>
        <v>0.81404081777673498</v>
      </c>
      <c r="AB27">
        <f>((AB26-AB25)/AB25)*100</f>
        <v>-0.33785281461483729</v>
      </c>
      <c r="AC27" s="3"/>
      <c r="AD27">
        <f>((AD26-AD25)/AD25)*100</f>
        <v>-0.788124622833414</v>
      </c>
      <c r="AE27">
        <f>((AE26-AE25)/AE25)*100</f>
        <v>-0.45799281591578933</v>
      </c>
      <c r="AF27" s="3"/>
      <c r="AG27">
        <f>((AG26-AG25)/AG25)*100</f>
        <v>-8.1744088532667636</v>
      </c>
      <c r="AH27">
        <f>((AH26-AH25)/AH25)*100</f>
        <v>-0.96691283276542483</v>
      </c>
      <c r="AI27" s="3"/>
      <c r="AJ27">
        <f>((AJ26-AJ25)/AJ25)*100</f>
        <v>-4.5158349449124309</v>
      </c>
      <c r="AK27">
        <f>((AK26-AK25)/AK25)*100</f>
        <v>-29.576583970237238</v>
      </c>
      <c r="AL27" s="3"/>
      <c r="AM27">
        <f>((AM26-AM25)/AM25)*100</f>
        <v>-7.2191113462852989</v>
      </c>
      <c r="AN27">
        <f>((AN26-AN25)/AN25)*100</f>
        <v>-6.930437823639644</v>
      </c>
      <c r="AO27" s="3"/>
      <c r="AP27">
        <f>((AP26-AP25)/AP25)*100</f>
        <v>-8.6279528437767024</v>
      </c>
      <c r="AQ27">
        <f>((AQ26-AQ25)/AQ25)*100</f>
        <v>-3.2171285973248178</v>
      </c>
      <c r="AR27" s="3"/>
      <c r="AS27">
        <f>((AS26-AS25)/AS25)*100</f>
        <v>-7.085294665642361</v>
      </c>
      <c r="AT27">
        <f>((AT26-AT25)/AT25)*100</f>
        <v>-54.491718639949262</v>
      </c>
      <c r="AU27" s="3"/>
      <c r="AV27">
        <f>((AV26-AV25)/AV25)*100</f>
        <v>-8.5609975278710948</v>
      </c>
      <c r="AW27">
        <f>((AW26-AW25)/AW25)*100</f>
        <v>-14.497766166699433</v>
      </c>
      <c r="AX27" s="3"/>
      <c r="AY27">
        <f>((AY26-AY25)/AY25)*100</f>
        <v>-11.807257209381577</v>
      </c>
      <c r="AZ27">
        <f>((AZ26-AZ25)/AZ25)*100</f>
        <v>1.0998440187070309</v>
      </c>
      <c r="BA27" s="3"/>
      <c r="BB27">
        <f>((BB26-BB25)/BB25)*100</f>
        <v>-0.15787428200268605</v>
      </c>
      <c r="BC27">
        <f>((BC26-BC25)/BC25)*100</f>
        <v>0.56508146871305143</v>
      </c>
      <c r="BD27" s="3"/>
      <c r="BE27">
        <f>((BE26-BE25)/BE25)*100</f>
        <v>-2.9683929606440094</v>
      </c>
      <c r="BF27">
        <f>((BF26-BF25)/BF25)*100</f>
        <v>0.90890087328339608</v>
      </c>
      <c r="BG27" s="3"/>
    </row>
    <row r="35" spans="3:4" x14ac:dyDescent="0.2">
      <c r="C35" s="2"/>
      <c r="D35" s="2"/>
    </row>
  </sheetData>
  <mergeCells count="38">
    <mergeCell ref="AM2:AO2"/>
    <mergeCell ref="C1:AO1"/>
    <mergeCell ref="U2:W2"/>
    <mergeCell ref="X2:Z2"/>
    <mergeCell ref="AA2:AC2"/>
    <mergeCell ref="AD2:AF2"/>
    <mergeCell ref="AG2:AI2"/>
    <mergeCell ref="AJ2:AL2"/>
    <mergeCell ref="C2:E2"/>
    <mergeCell ref="F2:H2"/>
    <mergeCell ref="I2:K2"/>
    <mergeCell ref="L2:N2"/>
    <mergeCell ref="O2:Q2"/>
    <mergeCell ref="R2:T2"/>
    <mergeCell ref="F9:I9"/>
    <mergeCell ref="B15:E15"/>
    <mergeCell ref="F15:I15"/>
    <mergeCell ref="F23:H23"/>
    <mergeCell ref="I23:K23"/>
    <mergeCell ref="C23:E23"/>
    <mergeCell ref="C22:Q22"/>
    <mergeCell ref="B9:E9"/>
    <mergeCell ref="L23:N23"/>
    <mergeCell ref="O23:Q23"/>
    <mergeCell ref="R23:T23"/>
    <mergeCell ref="X23:Z23"/>
    <mergeCell ref="U23:W23"/>
    <mergeCell ref="AA23:AC23"/>
    <mergeCell ref="AD23:AF23"/>
    <mergeCell ref="AG23:AI23"/>
    <mergeCell ref="AJ23:AL23"/>
    <mergeCell ref="AM23:AO23"/>
    <mergeCell ref="BE23:BG23"/>
    <mergeCell ref="AP23:AR23"/>
    <mergeCell ref="AS23:AU23"/>
    <mergeCell ref="AV23:AX23"/>
    <mergeCell ref="AY23:BA23"/>
    <mergeCell ref="BB23:BD23"/>
  </mergeCells>
  <conditionalFormatting sqref="C27:D27">
    <cfRule type="colorScale" priority="135">
      <colorScale>
        <cfvo type="num" val="0"/>
        <cfvo type="num" val="0"/>
        <color rgb="FF92D050"/>
        <color rgb="FFFF0000"/>
      </colorScale>
    </cfRule>
  </conditionalFormatting>
  <conditionalFormatting sqref="C6:D6">
    <cfRule type="colorScale" priority="161">
      <colorScale>
        <cfvo type="num" val="0"/>
        <cfvo type="num" val="0"/>
        <color rgb="FF92D050"/>
        <color rgb="FFFF0000"/>
      </colorScale>
    </cfRule>
  </conditionalFormatting>
  <conditionalFormatting sqref="E4:E5">
    <cfRule type="colorScale" priority="210">
      <colorScale>
        <cfvo type="num" val="0"/>
        <cfvo type="num" val="0"/>
        <color rgb="FF92D050"/>
        <color rgb="FFFF0000"/>
      </colorScale>
    </cfRule>
  </conditionalFormatting>
  <conditionalFormatting sqref="E25:E26">
    <cfRule type="colorScale" priority="126">
      <colorScale>
        <cfvo type="num" val="0"/>
        <cfvo type="num" val="0"/>
        <color rgb="FF92D050"/>
        <color rgb="FFFF0000"/>
      </colorScale>
    </cfRule>
  </conditionalFormatting>
  <conditionalFormatting sqref="H4:H5">
    <cfRule type="colorScale" priority="60">
      <colorScale>
        <cfvo type="num" val="0"/>
        <cfvo type="num" val="0"/>
        <color rgb="FF92D050"/>
        <color rgb="FFFF0000"/>
      </colorScale>
    </cfRule>
  </conditionalFormatting>
  <conditionalFormatting sqref="K4:K5">
    <cfRule type="colorScale" priority="59">
      <colorScale>
        <cfvo type="num" val="0"/>
        <cfvo type="num" val="0"/>
        <color rgb="FF92D050"/>
        <color rgb="FFFF0000"/>
      </colorScale>
    </cfRule>
  </conditionalFormatting>
  <conditionalFormatting sqref="N4:N5">
    <cfRule type="colorScale" priority="58">
      <colorScale>
        <cfvo type="num" val="0"/>
        <cfvo type="num" val="0"/>
        <color rgb="FF92D050"/>
        <color rgb="FFFF0000"/>
      </colorScale>
    </cfRule>
  </conditionalFormatting>
  <conditionalFormatting sqref="Q4:Q5">
    <cfRule type="colorScale" priority="57">
      <colorScale>
        <cfvo type="num" val="0"/>
        <cfvo type="num" val="0"/>
        <color rgb="FF92D050"/>
        <color rgb="FFFF0000"/>
      </colorScale>
    </cfRule>
  </conditionalFormatting>
  <conditionalFormatting sqref="T4:T5">
    <cfRule type="colorScale" priority="56">
      <colorScale>
        <cfvo type="num" val="0"/>
        <cfvo type="num" val="0"/>
        <color rgb="FF92D050"/>
        <color rgb="FFFF0000"/>
      </colorScale>
    </cfRule>
  </conditionalFormatting>
  <conditionalFormatting sqref="W4:W5">
    <cfRule type="colorScale" priority="55">
      <colorScale>
        <cfvo type="num" val="0"/>
        <cfvo type="num" val="0"/>
        <color rgb="FF92D050"/>
        <color rgb="FFFF0000"/>
      </colorScale>
    </cfRule>
  </conditionalFormatting>
  <conditionalFormatting sqref="Z4:Z5">
    <cfRule type="colorScale" priority="54">
      <colorScale>
        <cfvo type="num" val="0"/>
        <cfvo type="num" val="0"/>
        <color rgb="FF92D050"/>
        <color rgb="FFFF0000"/>
      </colorScale>
    </cfRule>
  </conditionalFormatting>
  <conditionalFormatting sqref="AC4:AC5">
    <cfRule type="colorScale" priority="53">
      <colorScale>
        <cfvo type="num" val="0"/>
        <cfvo type="num" val="0"/>
        <color rgb="FF92D050"/>
        <color rgb="FFFF0000"/>
      </colorScale>
    </cfRule>
  </conditionalFormatting>
  <conditionalFormatting sqref="AF4:AF5">
    <cfRule type="colorScale" priority="52">
      <colorScale>
        <cfvo type="num" val="0"/>
        <cfvo type="num" val="0"/>
        <color rgb="FF92D050"/>
        <color rgb="FFFF0000"/>
      </colorScale>
    </cfRule>
  </conditionalFormatting>
  <conditionalFormatting sqref="AI4:AI5">
    <cfRule type="colorScale" priority="51">
      <colorScale>
        <cfvo type="num" val="0"/>
        <cfvo type="num" val="0"/>
        <color rgb="FF92D050"/>
        <color rgb="FFFF0000"/>
      </colorScale>
    </cfRule>
  </conditionalFormatting>
  <conditionalFormatting sqref="AL4:AL5">
    <cfRule type="colorScale" priority="50">
      <colorScale>
        <cfvo type="num" val="0"/>
        <cfvo type="num" val="0"/>
        <color rgb="FF92D050"/>
        <color rgb="FFFF0000"/>
      </colorScale>
    </cfRule>
  </conditionalFormatting>
  <conditionalFormatting sqref="AO4:AO5">
    <cfRule type="colorScale" priority="49">
      <colorScale>
        <cfvo type="num" val="0"/>
        <cfvo type="num" val="0"/>
        <color rgb="FF92D050"/>
        <color rgb="FFFF0000"/>
      </colorScale>
    </cfRule>
  </conditionalFormatting>
  <conditionalFormatting sqref="F6:G6">
    <cfRule type="colorScale" priority="48">
      <colorScale>
        <cfvo type="num" val="0"/>
        <cfvo type="num" val="0"/>
        <color rgb="FF92D050"/>
        <color rgb="FFFF0000"/>
      </colorScale>
    </cfRule>
  </conditionalFormatting>
  <conditionalFormatting sqref="I6:J6">
    <cfRule type="colorScale" priority="47">
      <colorScale>
        <cfvo type="num" val="0"/>
        <cfvo type="num" val="0"/>
        <color rgb="FF92D050"/>
        <color rgb="FFFF0000"/>
      </colorScale>
    </cfRule>
  </conditionalFormatting>
  <conditionalFormatting sqref="L6:M6">
    <cfRule type="colorScale" priority="46">
      <colorScale>
        <cfvo type="num" val="0"/>
        <cfvo type="num" val="0"/>
        <color rgb="FF92D050"/>
        <color rgb="FFFF0000"/>
      </colorScale>
    </cfRule>
  </conditionalFormatting>
  <conditionalFormatting sqref="O6:P6">
    <cfRule type="colorScale" priority="45">
      <colorScale>
        <cfvo type="num" val="0"/>
        <cfvo type="num" val="0"/>
        <color rgb="FF92D050"/>
        <color rgb="FFFF0000"/>
      </colorScale>
    </cfRule>
  </conditionalFormatting>
  <conditionalFormatting sqref="R6:S6">
    <cfRule type="colorScale" priority="44">
      <colorScale>
        <cfvo type="num" val="0"/>
        <cfvo type="num" val="0"/>
        <color rgb="FF92D050"/>
        <color rgb="FFFF0000"/>
      </colorScale>
    </cfRule>
  </conditionalFormatting>
  <conditionalFormatting sqref="U6:V6">
    <cfRule type="colorScale" priority="43">
      <colorScale>
        <cfvo type="num" val="0"/>
        <cfvo type="num" val="0"/>
        <color rgb="FF92D050"/>
        <color rgb="FFFF0000"/>
      </colorScale>
    </cfRule>
  </conditionalFormatting>
  <conditionalFormatting sqref="X6:Y6">
    <cfRule type="colorScale" priority="42">
      <colorScale>
        <cfvo type="num" val="0"/>
        <cfvo type="num" val="0"/>
        <color rgb="FF92D050"/>
        <color rgb="FFFF0000"/>
      </colorScale>
    </cfRule>
  </conditionalFormatting>
  <conditionalFormatting sqref="AA6:AB6">
    <cfRule type="colorScale" priority="41">
      <colorScale>
        <cfvo type="num" val="0"/>
        <cfvo type="num" val="0"/>
        <color rgb="FF92D050"/>
        <color rgb="FFFF0000"/>
      </colorScale>
    </cfRule>
  </conditionalFormatting>
  <conditionalFormatting sqref="AD6:AE6">
    <cfRule type="colorScale" priority="40">
      <colorScale>
        <cfvo type="num" val="0"/>
        <cfvo type="num" val="0"/>
        <color rgb="FF92D050"/>
        <color rgb="FFFF0000"/>
      </colorScale>
    </cfRule>
  </conditionalFormatting>
  <conditionalFormatting sqref="AG6:AH6">
    <cfRule type="colorScale" priority="39">
      <colorScale>
        <cfvo type="num" val="0"/>
        <cfvo type="num" val="0"/>
        <color rgb="FF92D050"/>
        <color rgb="FFFF0000"/>
      </colorScale>
    </cfRule>
  </conditionalFormatting>
  <conditionalFormatting sqref="AJ6:AK6">
    <cfRule type="colorScale" priority="38">
      <colorScale>
        <cfvo type="num" val="0"/>
        <cfvo type="num" val="0"/>
        <color rgb="FF92D050"/>
        <color rgb="FFFF0000"/>
      </colorScale>
    </cfRule>
  </conditionalFormatting>
  <conditionalFormatting sqref="AM6:AN6">
    <cfRule type="colorScale" priority="37">
      <colorScale>
        <cfvo type="num" val="0"/>
        <cfvo type="num" val="0"/>
        <color rgb="FF92D050"/>
        <color rgb="FFFF0000"/>
      </colorScale>
    </cfRule>
  </conditionalFormatting>
  <conditionalFormatting sqref="H25:H26">
    <cfRule type="colorScale" priority="36">
      <colorScale>
        <cfvo type="num" val="0"/>
        <cfvo type="num" val="0"/>
        <color rgb="FF92D050"/>
        <color rgb="FFFF0000"/>
      </colorScale>
    </cfRule>
  </conditionalFormatting>
  <conditionalFormatting sqref="K25:K26">
    <cfRule type="colorScale" priority="35">
      <colorScale>
        <cfvo type="num" val="0"/>
        <cfvo type="num" val="0"/>
        <color rgb="FF92D050"/>
        <color rgb="FFFF0000"/>
      </colorScale>
    </cfRule>
  </conditionalFormatting>
  <conditionalFormatting sqref="N25:N26">
    <cfRule type="colorScale" priority="34">
      <colorScale>
        <cfvo type="num" val="0"/>
        <cfvo type="num" val="0"/>
        <color rgb="FF92D050"/>
        <color rgb="FFFF0000"/>
      </colorScale>
    </cfRule>
  </conditionalFormatting>
  <conditionalFormatting sqref="Q25:Q26">
    <cfRule type="colorScale" priority="33">
      <colorScale>
        <cfvo type="num" val="0"/>
        <cfvo type="num" val="0"/>
        <color rgb="FF92D050"/>
        <color rgb="FFFF0000"/>
      </colorScale>
    </cfRule>
  </conditionalFormatting>
  <conditionalFormatting sqref="T25:T26">
    <cfRule type="colorScale" priority="32">
      <colorScale>
        <cfvo type="num" val="0"/>
        <cfvo type="num" val="0"/>
        <color rgb="FF92D050"/>
        <color rgb="FFFF0000"/>
      </colorScale>
    </cfRule>
  </conditionalFormatting>
  <conditionalFormatting sqref="W25:W26">
    <cfRule type="colorScale" priority="31">
      <colorScale>
        <cfvo type="num" val="0"/>
        <cfvo type="num" val="0"/>
        <color rgb="FF92D050"/>
        <color rgb="FFFF0000"/>
      </colorScale>
    </cfRule>
  </conditionalFormatting>
  <conditionalFormatting sqref="Z25:Z26">
    <cfRule type="colorScale" priority="30">
      <colorScale>
        <cfvo type="num" val="0"/>
        <cfvo type="num" val="0"/>
        <color rgb="FF92D050"/>
        <color rgb="FFFF0000"/>
      </colorScale>
    </cfRule>
  </conditionalFormatting>
  <conditionalFormatting sqref="AC25:AC26">
    <cfRule type="colorScale" priority="29">
      <colorScale>
        <cfvo type="num" val="0"/>
        <cfvo type="num" val="0"/>
        <color rgb="FF92D050"/>
        <color rgb="FFFF0000"/>
      </colorScale>
    </cfRule>
  </conditionalFormatting>
  <conditionalFormatting sqref="AF25:AF26">
    <cfRule type="colorScale" priority="28">
      <colorScale>
        <cfvo type="num" val="0"/>
        <cfvo type="num" val="0"/>
        <color rgb="FF92D050"/>
        <color rgb="FFFF0000"/>
      </colorScale>
    </cfRule>
  </conditionalFormatting>
  <conditionalFormatting sqref="AI25:AI26">
    <cfRule type="colorScale" priority="27">
      <colorScale>
        <cfvo type="num" val="0"/>
        <cfvo type="num" val="0"/>
        <color rgb="FF92D050"/>
        <color rgb="FFFF0000"/>
      </colorScale>
    </cfRule>
  </conditionalFormatting>
  <conditionalFormatting sqref="AL25:AL26">
    <cfRule type="colorScale" priority="26">
      <colorScale>
        <cfvo type="num" val="0"/>
        <cfvo type="num" val="0"/>
        <color rgb="FF92D050"/>
        <color rgb="FFFF0000"/>
      </colorScale>
    </cfRule>
  </conditionalFormatting>
  <conditionalFormatting sqref="AO25:AO26">
    <cfRule type="colorScale" priority="25">
      <colorScale>
        <cfvo type="num" val="0"/>
        <cfvo type="num" val="0"/>
        <color rgb="FF92D050"/>
        <color rgb="FFFF0000"/>
      </colorScale>
    </cfRule>
  </conditionalFormatting>
  <conditionalFormatting sqref="AR25:AR26">
    <cfRule type="colorScale" priority="24">
      <colorScale>
        <cfvo type="num" val="0"/>
        <cfvo type="num" val="0"/>
        <color rgb="FF92D050"/>
        <color rgb="FFFF0000"/>
      </colorScale>
    </cfRule>
  </conditionalFormatting>
  <conditionalFormatting sqref="AU25:AU26">
    <cfRule type="colorScale" priority="23">
      <colorScale>
        <cfvo type="num" val="0"/>
        <cfvo type="num" val="0"/>
        <color rgb="FF92D050"/>
        <color rgb="FFFF0000"/>
      </colorScale>
    </cfRule>
  </conditionalFormatting>
  <conditionalFormatting sqref="AX25:AX26">
    <cfRule type="colorScale" priority="22">
      <colorScale>
        <cfvo type="num" val="0"/>
        <cfvo type="num" val="0"/>
        <color rgb="FF92D050"/>
        <color rgb="FFFF0000"/>
      </colorScale>
    </cfRule>
  </conditionalFormatting>
  <conditionalFormatting sqref="BA25:BA26">
    <cfRule type="colorScale" priority="21">
      <colorScale>
        <cfvo type="num" val="0"/>
        <cfvo type="num" val="0"/>
        <color rgb="FF92D050"/>
        <color rgb="FFFF0000"/>
      </colorScale>
    </cfRule>
  </conditionalFormatting>
  <conditionalFormatting sqref="BD25:BD26">
    <cfRule type="colorScale" priority="20">
      <colorScale>
        <cfvo type="num" val="0"/>
        <cfvo type="num" val="0"/>
        <color rgb="FF92D050"/>
        <color rgb="FFFF0000"/>
      </colorScale>
    </cfRule>
  </conditionalFormatting>
  <conditionalFormatting sqref="BG25:BG26">
    <cfRule type="colorScale" priority="19">
      <colorScale>
        <cfvo type="num" val="0"/>
        <cfvo type="num" val="0"/>
        <color rgb="FF92D050"/>
        <color rgb="FFFF0000"/>
      </colorScale>
    </cfRule>
  </conditionalFormatting>
  <conditionalFormatting sqref="F27:G27">
    <cfRule type="colorScale" priority="18">
      <colorScale>
        <cfvo type="num" val="0"/>
        <cfvo type="num" val="0"/>
        <color rgb="FF92D050"/>
        <color rgb="FFFF0000"/>
      </colorScale>
    </cfRule>
  </conditionalFormatting>
  <conditionalFormatting sqref="I27:J27">
    <cfRule type="colorScale" priority="17">
      <colorScale>
        <cfvo type="num" val="0"/>
        <cfvo type="num" val="0"/>
        <color rgb="FF92D050"/>
        <color rgb="FFFF0000"/>
      </colorScale>
    </cfRule>
  </conditionalFormatting>
  <conditionalFormatting sqref="L27:M27">
    <cfRule type="colorScale" priority="16">
      <colorScale>
        <cfvo type="num" val="0"/>
        <cfvo type="num" val="0"/>
        <color rgb="FF92D050"/>
        <color rgb="FFFF0000"/>
      </colorScale>
    </cfRule>
  </conditionalFormatting>
  <conditionalFormatting sqref="O27:P27">
    <cfRule type="colorScale" priority="15">
      <colorScale>
        <cfvo type="num" val="0"/>
        <cfvo type="num" val="0"/>
        <color rgb="FF92D050"/>
        <color rgb="FFFF0000"/>
      </colorScale>
    </cfRule>
  </conditionalFormatting>
  <conditionalFormatting sqref="R27:S27">
    <cfRule type="colorScale" priority="14">
      <colorScale>
        <cfvo type="num" val="0"/>
        <cfvo type="num" val="0"/>
        <color rgb="FF92D050"/>
        <color rgb="FFFF0000"/>
      </colorScale>
    </cfRule>
  </conditionalFormatting>
  <conditionalFormatting sqref="U27:V27">
    <cfRule type="colorScale" priority="13">
      <colorScale>
        <cfvo type="num" val="0"/>
        <cfvo type="num" val="0"/>
        <color rgb="FF92D050"/>
        <color rgb="FFFF0000"/>
      </colorScale>
    </cfRule>
  </conditionalFormatting>
  <conditionalFormatting sqref="X27:Y27">
    <cfRule type="colorScale" priority="12">
      <colorScale>
        <cfvo type="num" val="0"/>
        <cfvo type="num" val="0"/>
        <color rgb="FF92D050"/>
        <color rgb="FFFF0000"/>
      </colorScale>
    </cfRule>
  </conditionalFormatting>
  <conditionalFormatting sqref="AA27:AB27">
    <cfRule type="colorScale" priority="11">
      <colorScale>
        <cfvo type="num" val="0"/>
        <cfvo type="num" val="0"/>
        <color rgb="FF92D050"/>
        <color rgb="FFFF0000"/>
      </colorScale>
    </cfRule>
  </conditionalFormatting>
  <conditionalFormatting sqref="AD27:AE27">
    <cfRule type="colorScale" priority="10">
      <colorScale>
        <cfvo type="num" val="0"/>
        <cfvo type="num" val="0"/>
        <color rgb="FF92D050"/>
        <color rgb="FFFF0000"/>
      </colorScale>
    </cfRule>
  </conditionalFormatting>
  <conditionalFormatting sqref="AG27:AH27">
    <cfRule type="colorScale" priority="9">
      <colorScale>
        <cfvo type="num" val="0"/>
        <cfvo type="num" val="0"/>
        <color rgb="FF92D050"/>
        <color rgb="FFFF0000"/>
      </colorScale>
    </cfRule>
  </conditionalFormatting>
  <conditionalFormatting sqref="AJ27:AK27">
    <cfRule type="colorScale" priority="8">
      <colorScale>
        <cfvo type="num" val="0"/>
        <cfvo type="num" val="0"/>
        <color rgb="FF92D050"/>
        <color rgb="FFFF0000"/>
      </colorScale>
    </cfRule>
  </conditionalFormatting>
  <conditionalFormatting sqref="AM27:AN27">
    <cfRule type="colorScale" priority="7">
      <colorScale>
        <cfvo type="num" val="0"/>
        <cfvo type="num" val="0"/>
        <color rgb="FF92D050"/>
        <color rgb="FFFF0000"/>
      </colorScale>
    </cfRule>
  </conditionalFormatting>
  <conditionalFormatting sqref="AP27:AQ27">
    <cfRule type="colorScale" priority="6">
      <colorScale>
        <cfvo type="num" val="0"/>
        <cfvo type="num" val="0"/>
        <color rgb="FF92D050"/>
        <color rgb="FFFF0000"/>
      </colorScale>
    </cfRule>
  </conditionalFormatting>
  <conditionalFormatting sqref="AS27:AT27">
    <cfRule type="colorScale" priority="5">
      <colorScale>
        <cfvo type="num" val="0"/>
        <cfvo type="num" val="0"/>
        <color rgb="FF92D050"/>
        <color rgb="FFFF0000"/>
      </colorScale>
    </cfRule>
  </conditionalFormatting>
  <conditionalFormatting sqref="AV27:AW27">
    <cfRule type="colorScale" priority="4">
      <colorScale>
        <cfvo type="num" val="0"/>
        <cfvo type="num" val="0"/>
        <color rgb="FF92D050"/>
        <color rgb="FFFF0000"/>
      </colorScale>
    </cfRule>
  </conditionalFormatting>
  <conditionalFormatting sqref="AY27:AZ27">
    <cfRule type="colorScale" priority="3">
      <colorScale>
        <cfvo type="num" val="0"/>
        <cfvo type="num" val="0"/>
        <color rgb="FF92D050"/>
        <color rgb="FFFF0000"/>
      </colorScale>
    </cfRule>
  </conditionalFormatting>
  <conditionalFormatting sqref="BB27:BC27">
    <cfRule type="colorScale" priority="2">
      <colorScale>
        <cfvo type="num" val="0"/>
        <cfvo type="num" val="0"/>
        <color rgb="FF92D050"/>
        <color rgb="FFFF0000"/>
      </colorScale>
    </cfRule>
  </conditionalFormatting>
  <conditionalFormatting sqref="BE27:BF27">
    <cfRule type="colorScale" priority="1">
      <colorScale>
        <cfvo type="num" val="0"/>
        <cfvo type="num" val="0"/>
        <color rgb="FF92D05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E2C0-8C68-E84F-BBAA-6A32D2F1D90D}">
  <dimension ref="A1:W30"/>
  <sheetViews>
    <sheetView workbookViewId="0">
      <selection activeCell="E53" sqref="E53"/>
    </sheetView>
  </sheetViews>
  <sheetFormatPr baseColWidth="10" defaultRowHeight="16" x14ac:dyDescent="0.2"/>
  <cols>
    <col min="2" max="2" width="10.1640625" customWidth="1"/>
    <col min="3" max="3" width="16.6640625" bestFit="1" customWidth="1"/>
    <col min="4" max="4" width="21.83203125" bestFit="1" customWidth="1"/>
    <col min="5" max="5" width="15.33203125" bestFit="1" customWidth="1"/>
    <col min="6" max="6" width="13" bestFit="1" customWidth="1"/>
    <col min="7" max="7" width="13.83203125" bestFit="1" customWidth="1"/>
    <col min="8" max="8" width="16.5" bestFit="1" customWidth="1"/>
    <col min="9" max="9" width="20.1640625" bestFit="1" customWidth="1"/>
    <col min="10" max="10" width="22.5" bestFit="1" customWidth="1"/>
    <col min="11" max="11" width="12.33203125" bestFit="1" customWidth="1"/>
    <col min="12" max="12" width="14.5" bestFit="1" customWidth="1"/>
    <col min="13" max="13" width="17" bestFit="1" customWidth="1"/>
    <col min="14" max="14" width="12.1640625" bestFit="1" customWidth="1"/>
    <col min="15" max="15" width="21" bestFit="1" customWidth="1"/>
    <col min="16" max="16" width="12.1640625" bestFit="1" customWidth="1"/>
    <col min="17" max="17" width="16.33203125" bestFit="1" customWidth="1"/>
    <col min="18" max="21" width="12.1640625" bestFit="1" customWidth="1"/>
  </cols>
  <sheetData>
    <row r="1" spans="1:15" x14ac:dyDescent="0.2">
      <c r="A1" s="1" t="s">
        <v>0</v>
      </c>
      <c r="B1" s="1" t="s">
        <v>1</v>
      </c>
    </row>
    <row r="2" spans="1:15" x14ac:dyDescent="0.2">
      <c r="A2" t="s">
        <v>4</v>
      </c>
      <c r="B2" t="s">
        <v>3</v>
      </c>
    </row>
    <row r="3" spans="1:15" x14ac:dyDescent="0.2">
      <c r="C3" s="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">
      <c r="B4" s="1" t="s">
        <v>27</v>
      </c>
      <c r="C4" s="1" t="s">
        <v>5</v>
      </c>
      <c r="D4" s="1" t="s">
        <v>6</v>
      </c>
      <c r="E4" s="1" t="s">
        <v>32</v>
      </c>
      <c r="F4" s="1" t="s">
        <v>33</v>
      </c>
      <c r="G4" s="1" t="s">
        <v>34</v>
      </c>
      <c r="H4" s="1" t="s">
        <v>7</v>
      </c>
      <c r="I4" s="1" t="s">
        <v>13</v>
      </c>
      <c r="J4" s="1" t="s">
        <v>14</v>
      </c>
      <c r="K4" s="1" t="s">
        <v>35</v>
      </c>
      <c r="L4" s="1" t="s">
        <v>36</v>
      </c>
      <c r="M4" s="1" t="s">
        <v>15</v>
      </c>
      <c r="N4" s="1" t="s">
        <v>16</v>
      </c>
      <c r="O4" s="1" t="s">
        <v>17</v>
      </c>
    </row>
    <row r="5" spans="1:15" x14ac:dyDescent="0.2">
      <c r="B5">
        <v>0</v>
      </c>
      <c r="C5">
        <v>2.5442388999999899E-2</v>
      </c>
      <c r="D5">
        <v>10.0966351579999</v>
      </c>
      <c r="E5">
        <v>2.3308504699999899</v>
      </c>
      <c r="F5">
        <v>7.1160886000000104E-2</v>
      </c>
      <c r="G5">
        <v>0.10534255199999901</v>
      </c>
      <c r="H5">
        <v>0.11671878500000001</v>
      </c>
      <c r="I5">
        <v>0.19536178500000001</v>
      </c>
      <c r="J5">
        <v>1.9308818759999899</v>
      </c>
      <c r="K5">
        <v>0.20881275799999899</v>
      </c>
      <c r="L5">
        <v>0.29738986399999801</v>
      </c>
      <c r="M5">
        <v>2.4405590000000001E-2</v>
      </c>
      <c r="N5">
        <v>0.61840965299999995</v>
      </c>
      <c r="O5">
        <v>15.421738940999999</v>
      </c>
    </row>
    <row r="6" spans="1:15" x14ac:dyDescent="0.2">
      <c r="B6">
        <v>1</v>
      </c>
      <c r="C6">
        <v>2.5527887999999901E-2</v>
      </c>
      <c r="D6">
        <v>10.099466587</v>
      </c>
      <c r="E6">
        <v>2.3298336310000001</v>
      </c>
      <c r="F6">
        <v>7.1114231000000194E-2</v>
      </c>
      <c r="G6">
        <v>0.105502281</v>
      </c>
      <c r="H6">
        <v>0.11693131</v>
      </c>
      <c r="I6">
        <v>0.19548254899999901</v>
      </c>
      <c r="J6">
        <v>1.9275563</v>
      </c>
      <c r="K6">
        <v>0.208805876</v>
      </c>
      <c r="L6">
        <v>0.29737015900000002</v>
      </c>
      <c r="M6">
        <v>2.43905029999999E-2</v>
      </c>
      <c r="N6">
        <v>0.60543443500000005</v>
      </c>
      <c r="O6">
        <v>15.420494411</v>
      </c>
    </row>
    <row r="7" spans="1:15" x14ac:dyDescent="0.2">
      <c r="B7">
        <v>2</v>
      </c>
      <c r="C7">
        <v>2.5385048999999899E-2</v>
      </c>
      <c r="D7">
        <v>10.0960650269999</v>
      </c>
      <c r="E7">
        <v>2.3300957509999898</v>
      </c>
      <c r="F7">
        <v>7.1090112999999802E-2</v>
      </c>
      <c r="G7">
        <v>0.105297339</v>
      </c>
      <c r="H7">
        <v>0.115763148</v>
      </c>
      <c r="I7">
        <v>0.194802856</v>
      </c>
      <c r="J7">
        <v>1.930564739</v>
      </c>
      <c r="K7">
        <v>0.20860229199999999</v>
      </c>
      <c r="L7">
        <v>0.29655467600000002</v>
      </c>
      <c r="M7">
        <v>2.4209992999999999E-2</v>
      </c>
      <c r="N7">
        <v>0.61446489999999998</v>
      </c>
      <c r="O7">
        <v>15.417055752</v>
      </c>
    </row>
    <row r="8" spans="1:15" x14ac:dyDescent="0.2">
      <c r="B8">
        <v>3</v>
      </c>
      <c r="C8">
        <v>2.6101022000000001E-2</v>
      </c>
      <c r="D8">
        <v>10.098430702</v>
      </c>
      <c r="E8">
        <v>2.3316661330000001</v>
      </c>
      <c r="F8">
        <v>7.1733575000000105E-2</v>
      </c>
      <c r="G8">
        <v>0.105952269</v>
      </c>
      <c r="H8">
        <v>0.11880186199999999</v>
      </c>
      <c r="I8">
        <v>0.19629432499999899</v>
      </c>
      <c r="J8">
        <v>1.9334173370000001</v>
      </c>
      <c r="K8">
        <v>0.20952352299999899</v>
      </c>
      <c r="L8">
        <v>0.30171195399999901</v>
      </c>
      <c r="M8">
        <v>2.4924894999999999E-2</v>
      </c>
      <c r="N8">
        <v>0.60585072799999995</v>
      </c>
      <c r="O8">
        <v>15.437552728</v>
      </c>
    </row>
    <row r="9" spans="1:15" x14ac:dyDescent="0.2">
      <c r="B9">
        <v>4</v>
      </c>
      <c r="C9">
        <v>2.5467621999999902E-2</v>
      </c>
      <c r="D9">
        <v>10.097089739999999</v>
      </c>
      <c r="E9">
        <v>2.33055346</v>
      </c>
      <c r="F9">
        <v>7.1005021000000099E-2</v>
      </c>
      <c r="G9">
        <v>0.105564771</v>
      </c>
      <c r="H9">
        <v>0.116066537</v>
      </c>
      <c r="I9">
        <v>0.19509827699999899</v>
      </c>
      <c r="J9">
        <v>1.9262916639999901</v>
      </c>
      <c r="K9">
        <v>0.20904875099999901</v>
      </c>
      <c r="L9">
        <v>0.29693615399999901</v>
      </c>
      <c r="M9">
        <v>2.4270594E-2</v>
      </c>
      <c r="N9">
        <v>0.61751658399999998</v>
      </c>
      <c r="O9">
        <v>15.415884576</v>
      </c>
    </row>
    <row r="10" spans="1:15" x14ac:dyDescent="0.2">
      <c r="B10">
        <v>5</v>
      </c>
      <c r="C10">
        <v>2.5504596000000001E-2</v>
      </c>
      <c r="D10">
        <v>10.100004812</v>
      </c>
      <c r="E10">
        <v>2.3292280779999999</v>
      </c>
      <c r="F10">
        <v>7.1259157000000004E-2</v>
      </c>
      <c r="G10">
        <v>0.10528825</v>
      </c>
      <c r="H10">
        <v>0.11755757999999999</v>
      </c>
      <c r="I10">
        <v>0.19545280199999901</v>
      </c>
      <c r="J10">
        <v>1.9316526859999901</v>
      </c>
      <c r="K10">
        <v>0.208745985999999</v>
      </c>
      <c r="L10">
        <v>0.297633022999999</v>
      </c>
      <c r="M10">
        <v>2.4402429E-2</v>
      </c>
      <c r="N10">
        <v>0.62008680500000002</v>
      </c>
      <c r="O10">
        <v>15.425324863</v>
      </c>
    </row>
    <row r="11" spans="1:15" x14ac:dyDescent="0.2">
      <c r="B11">
        <v>6</v>
      </c>
      <c r="C11">
        <v>2.53951529999999E-2</v>
      </c>
      <c r="D11">
        <v>10.099723987000001</v>
      </c>
      <c r="E11">
        <v>2.32941839999999</v>
      </c>
      <c r="F11">
        <v>7.0885852999999999E-2</v>
      </c>
      <c r="G11">
        <v>0.105280375999999</v>
      </c>
      <c r="H11">
        <v>0.116655853</v>
      </c>
      <c r="I11">
        <v>0.195017264</v>
      </c>
      <c r="J11">
        <v>1.9323679599999899</v>
      </c>
      <c r="K11">
        <v>0.208760261999999</v>
      </c>
      <c r="L11">
        <v>0.29636837399999899</v>
      </c>
      <c r="M11">
        <v>2.4179472E-2</v>
      </c>
      <c r="N11">
        <v>0.611222712</v>
      </c>
      <c r="O11">
        <v>15.422380399</v>
      </c>
    </row>
    <row r="12" spans="1:15" x14ac:dyDescent="0.2">
      <c r="B12">
        <v>7</v>
      </c>
      <c r="C12">
        <v>2.5459150999999999E-2</v>
      </c>
      <c r="D12">
        <v>10.1016256789999</v>
      </c>
      <c r="E12">
        <v>2.3297095759999902</v>
      </c>
      <c r="F12">
        <v>7.0876266000000104E-2</v>
      </c>
      <c r="G12">
        <v>0.105656811</v>
      </c>
      <c r="H12">
        <v>0.11626690299999901</v>
      </c>
      <c r="I12">
        <v>0.194941688999999</v>
      </c>
      <c r="J12">
        <v>1.9301710480000001</v>
      </c>
      <c r="K12">
        <v>0.20866443800000001</v>
      </c>
      <c r="L12">
        <v>0.29608520999999899</v>
      </c>
      <c r="M12">
        <v>2.41489599999999E-2</v>
      </c>
      <c r="N12">
        <v>0.62176095799999997</v>
      </c>
      <c r="O12">
        <v>15.422180737</v>
      </c>
    </row>
    <row r="13" spans="1:15" x14ac:dyDescent="0.2">
      <c r="B13">
        <v>8</v>
      </c>
      <c r="C13">
        <v>2.5351556000000001E-2</v>
      </c>
      <c r="D13">
        <v>10.0917733379999</v>
      </c>
      <c r="E13">
        <v>2.3303256639999899</v>
      </c>
      <c r="F13">
        <v>7.1009946999999796E-2</v>
      </c>
      <c r="G13">
        <v>0.105642655</v>
      </c>
      <c r="H13">
        <v>0.115968692999999</v>
      </c>
      <c r="I13">
        <v>0.19533699800000001</v>
      </c>
      <c r="J13">
        <v>1.9303339069999901</v>
      </c>
      <c r="K13">
        <v>0.20884250299999901</v>
      </c>
      <c r="L13">
        <v>0.29673680200000002</v>
      </c>
      <c r="M13">
        <v>2.4217947999999899E-2</v>
      </c>
      <c r="N13">
        <v>0.61045812600000005</v>
      </c>
      <c r="O13">
        <v>15.414110351</v>
      </c>
    </row>
    <row r="14" spans="1:15" x14ac:dyDescent="0.2">
      <c r="B14">
        <v>9</v>
      </c>
      <c r="C14">
        <v>2.5502058000000001E-2</v>
      </c>
      <c r="D14">
        <v>10.099553321999901</v>
      </c>
      <c r="E14">
        <v>2.330985192</v>
      </c>
      <c r="F14">
        <v>7.1190351000000096E-2</v>
      </c>
      <c r="G14">
        <v>0.105847889</v>
      </c>
      <c r="H14">
        <v>0.116869266999999</v>
      </c>
      <c r="I14">
        <v>0.195518261</v>
      </c>
      <c r="J14">
        <v>1.9271281440000001</v>
      </c>
      <c r="K14">
        <v>0.209259116999999</v>
      </c>
      <c r="L14">
        <v>0.29808918699999898</v>
      </c>
      <c r="M14">
        <v>2.4367838999999999E-2</v>
      </c>
      <c r="N14">
        <v>0.61301483700000003</v>
      </c>
      <c r="O14">
        <v>15.422933222999999</v>
      </c>
    </row>
    <row r="15" spans="1:15" x14ac:dyDescent="0.2">
      <c r="B15" s="1" t="s">
        <v>21</v>
      </c>
      <c r="C15">
        <v>2.5502058000000001E-2</v>
      </c>
      <c r="D15">
        <v>10.099553321999901</v>
      </c>
      <c r="E15">
        <v>2.330985192</v>
      </c>
      <c r="F15">
        <v>7.1190351000000096E-2</v>
      </c>
      <c r="G15">
        <v>0.105847889</v>
      </c>
      <c r="H15">
        <v>0.116869266999999</v>
      </c>
      <c r="I15">
        <v>0.195518261</v>
      </c>
      <c r="J15">
        <v>1.9271281440000001</v>
      </c>
      <c r="K15">
        <v>0.209259116999999</v>
      </c>
      <c r="L15">
        <v>0.29808918699999898</v>
      </c>
      <c r="M15">
        <v>2.4367838999999999E-2</v>
      </c>
      <c r="N15">
        <v>0.61301483700000003</v>
      </c>
      <c r="O15">
        <v>15.422933222999999</v>
      </c>
    </row>
    <row r="18" spans="2:23" x14ac:dyDescent="0.2">
      <c r="B18" s="6" t="s">
        <v>26</v>
      </c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</row>
    <row r="19" spans="2:23" x14ac:dyDescent="0.2">
      <c r="B19" s="1" t="s">
        <v>27</v>
      </c>
      <c r="C19" s="1" t="s">
        <v>28</v>
      </c>
      <c r="D19" s="1" t="s">
        <v>29</v>
      </c>
      <c r="E19" s="1" t="s">
        <v>46</v>
      </c>
      <c r="F19" s="1" t="s">
        <v>47</v>
      </c>
      <c r="G19" s="1" t="s">
        <v>48</v>
      </c>
      <c r="H19" s="1" t="s">
        <v>49</v>
      </c>
      <c r="I19" s="1" t="s">
        <v>50</v>
      </c>
      <c r="J19" s="1" t="s">
        <v>51</v>
      </c>
      <c r="K19" s="1" t="s">
        <v>52</v>
      </c>
      <c r="L19" s="1" t="s">
        <v>30</v>
      </c>
      <c r="M19" s="1" t="s">
        <v>53</v>
      </c>
      <c r="N19" s="1" t="s">
        <v>54</v>
      </c>
      <c r="O19" s="1" t="s">
        <v>55</v>
      </c>
      <c r="P19" s="1" t="s">
        <v>13</v>
      </c>
      <c r="Q19" s="1" t="s">
        <v>56</v>
      </c>
      <c r="R19" s="1" t="s">
        <v>57</v>
      </c>
      <c r="S19" s="1" t="s">
        <v>15</v>
      </c>
      <c r="T19" s="1" t="s">
        <v>16</v>
      </c>
      <c r="U19" s="1" t="s">
        <v>17</v>
      </c>
    </row>
    <row r="20" spans="2:23" x14ac:dyDescent="0.2">
      <c r="B20">
        <v>0</v>
      </c>
      <c r="C20">
        <v>7.422269988</v>
      </c>
      <c r="D20">
        <v>20.973429719999999</v>
      </c>
      <c r="E20">
        <v>1.0189039999999899E-2</v>
      </c>
      <c r="F20">
        <v>1.1093337999999901E-2</v>
      </c>
      <c r="G20">
        <v>2.0079415999999899E-2</v>
      </c>
      <c r="H20">
        <v>1.2795913000000001E-2</v>
      </c>
      <c r="I20">
        <v>1.84805729999999E-2</v>
      </c>
      <c r="J20">
        <v>7.847635E-2</v>
      </c>
      <c r="K20">
        <v>1.0278000629999999</v>
      </c>
      <c r="L20">
        <v>1.48805661399999</v>
      </c>
      <c r="M20">
        <v>1.5875657000000001E-2</v>
      </c>
      <c r="N20">
        <v>3.03467069999999E-2</v>
      </c>
      <c r="O20">
        <v>2.0522435999999901E-2</v>
      </c>
      <c r="P20">
        <v>4.2784091999999899E-2</v>
      </c>
      <c r="Q20">
        <v>1.491894E-2</v>
      </c>
      <c r="R20">
        <v>1.3895578E-2</v>
      </c>
      <c r="S20">
        <v>8.4823659999999999E-3</v>
      </c>
      <c r="T20">
        <v>44.537179967999997</v>
      </c>
      <c r="U20">
        <v>31.236283783000001</v>
      </c>
    </row>
    <row r="21" spans="2:23" x14ac:dyDescent="0.2">
      <c r="B21">
        <v>1</v>
      </c>
      <c r="C21">
        <v>7.6188020380000099</v>
      </c>
      <c r="D21">
        <v>27.896292961</v>
      </c>
      <c r="E21">
        <v>1.7517990000000001E-2</v>
      </c>
      <c r="F21">
        <v>1.9069963999999901E-2</v>
      </c>
      <c r="G21">
        <v>2.77774659999999E-2</v>
      </c>
      <c r="H21">
        <v>2.0337347999999901E-2</v>
      </c>
      <c r="I21">
        <v>3.4965568999999898E-2</v>
      </c>
      <c r="J21">
        <v>0.13530051900000001</v>
      </c>
      <c r="K21">
        <v>1.1246259810000001</v>
      </c>
      <c r="L21">
        <v>1.54620996699999</v>
      </c>
      <c r="M21">
        <v>2.5000124999999901E-2</v>
      </c>
      <c r="N21">
        <v>3.7133611999999899E-2</v>
      </c>
      <c r="O21">
        <v>3.0151092000000001E-2</v>
      </c>
      <c r="P21">
        <v>6.7247822999999998E-2</v>
      </c>
      <c r="Q21">
        <v>2.2129143999999899E-2</v>
      </c>
      <c r="R21">
        <v>2.17800259999999E-2</v>
      </c>
      <c r="S21">
        <v>1.5491974E-2</v>
      </c>
      <c r="T21">
        <v>45.907599861999998</v>
      </c>
      <c r="U21">
        <v>38.706284349000001</v>
      </c>
    </row>
    <row r="22" spans="2:23" x14ac:dyDescent="0.2">
      <c r="B22">
        <v>2</v>
      </c>
      <c r="C22">
        <v>7.0703843219999998</v>
      </c>
      <c r="D22">
        <v>20.762086303999901</v>
      </c>
      <c r="E22">
        <v>1.0054397E-2</v>
      </c>
      <c r="F22">
        <v>1.08029469999999E-2</v>
      </c>
      <c r="G22">
        <v>1.9446453999999901E-2</v>
      </c>
      <c r="H22">
        <v>1.2624224999999999E-2</v>
      </c>
      <c r="I22">
        <v>1.8377348000000002E-2</v>
      </c>
      <c r="J22">
        <v>7.7794973000000003E-2</v>
      </c>
      <c r="K22">
        <v>0.96432825799999899</v>
      </c>
      <c r="L22">
        <v>1.4635087739999899</v>
      </c>
      <c r="M22">
        <v>1.5699682999999898E-2</v>
      </c>
      <c r="N22">
        <v>2.9801441000000001E-2</v>
      </c>
      <c r="O22">
        <v>2.0402060999999999E-2</v>
      </c>
      <c r="P22">
        <v>4.1935385999999901E-2</v>
      </c>
      <c r="Q22">
        <v>1.4826806999999999E-2</v>
      </c>
      <c r="R22">
        <v>1.3889409999999901E-2</v>
      </c>
      <c r="S22">
        <v>8.3245769999999997E-3</v>
      </c>
      <c r="T22">
        <v>44.630055628999997</v>
      </c>
      <c r="U22">
        <v>30.580454436</v>
      </c>
    </row>
    <row r="23" spans="2:23" x14ac:dyDescent="0.2">
      <c r="B23">
        <v>3</v>
      </c>
      <c r="C23">
        <v>7.3038490829999798</v>
      </c>
      <c r="D23">
        <v>22.055633064999899</v>
      </c>
      <c r="E23">
        <v>1.28900659999999E-2</v>
      </c>
      <c r="F23">
        <v>1.3444190999999999E-2</v>
      </c>
      <c r="G23">
        <v>2.3004718999999899E-2</v>
      </c>
      <c r="H23">
        <v>1.56062599999999E-2</v>
      </c>
      <c r="I23">
        <v>2.4709099000000002E-2</v>
      </c>
      <c r="J23">
        <v>9.8524696999999897E-2</v>
      </c>
      <c r="K23">
        <v>0.99491091000000098</v>
      </c>
      <c r="L23">
        <v>1.502113995</v>
      </c>
      <c r="M23">
        <v>1.9284599999999898E-2</v>
      </c>
      <c r="N23">
        <v>3.3256510999999898E-2</v>
      </c>
      <c r="O23">
        <v>2.4200428E-2</v>
      </c>
      <c r="P23">
        <v>5.1085352000000001E-2</v>
      </c>
      <c r="Q23">
        <v>1.7725932999999999E-2</v>
      </c>
      <c r="R23">
        <v>1.6665559999999999E-2</v>
      </c>
      <c r="S23">
        <v>1.0932849E-2</v>
      </c>
      <c r="T23">
        <v>44.604266998</v>
      </c>
      <c r="U23">
        <v>32.252171476999997</v>
      </c>
    </row>
    <row r="24" spans="2:23" x14ac:dyDescent="0.2">
      <c r="B24">
        <v>4</v>
      </c>
      <c r="C24">
        <v>7.5513238239999803</v>
      </c>
      <c r="D24">
        <v>21.4786182779999</v>
      </c>
      <c r="E24">
        <v>1.1750320999999999E-2</v>
      </c>
      <c r="F24">
        <v>1.25569039999999E-2</v>
      </c>
      <c r="G24">
        <v>2.1439166999999999E-2</v>
      </c>
      <c r="H24">
        <v>1.4338396999999999E-2</v>
      </c>
      <c r="I24">
        <v>2.21996909999999E-2</v>
      </c>
      <c r="J24">
        <v>9.1012324000000103E-2</v>
      </c>
      <c r="K24">
        <v>1.042050506</v>
      </c>
      <c r="L24">
        <v>1.46941730099999</v>
      </c>
      <c r="M24">
        <v>1.8134878999999899E-2</v>
      </c>
      <c r="N24">
        <v>3.1238848999999898E-2</v>
      </c>
      <c r="O24">
        <v>2.3297592999999901E-2</v>
      </c>
      <c r="P24">
        <v>4.8082724999999903E-2</v>
      </c>
      <c r="Q24">
        <v>1.6460275E-2</v>
      </c>
      <c r="R24">
        <v>1.5589102999999899E-2</v>
      </c>
      <c r="S24">
        <v>9.9517970000000001E-3</v>
      </c>
      <c r="T24">
        <v>44.570692493999999</v>
      </c>
      <c r="U24">
        <v>31.908509415000001</v>
      </c>
      <c r="V24" s="1"/>
      <c r="W24" s="1"/>
    </row>
    <row r="25" spans="2:23" x14ac:dyDescent="0.2">
      <c r="B25">
        <v>5</v>
      </c>
      <c r="C25">
        <v>7.6023897789999797</v>
      </c>
      <c r="D25">
        <v>20.910273345</v>
      </c>
      <c r="E25">
        <v>1.0335970999999999E-2</v>
      </c>
      <c r="F25">
        <v>1.1155738999999901E-2</v>
      </c>
      <c r="G25">
        <v>1.99115429999999E-2</v>
      </c>
      <c r="H25">
        <v>1.2818519E-2</v>
      </c>
      <c r="I25">
        <v>1.88498909999999E-2</v>
      </c>
      <c r="J25">
        <v>7.9330277999999907E-2</v>
      </c>
      <c r="K25">
        <v>1.027643839</v>
      </c>
      <c r="L25">
        <v>1.4789465820000001</v>
      </c>
      <c r="M25">
        <v>1.6126796999999998E-2</v>
      </c>
      <c r="N25">
        <v>3.04041769999999E-2</v>
      </c>
      <c r="O25">
        <v>2.0884053999999999E-2</v>
      </c>
      <c r="P25">
        <v>4.2696177999999897E-2</v>
      </c>
      <c r="Q25">
        <v>1.52409619999999E-2</v>
      </c>
      <c r="R25">
        <v>1.41193929999999E-2</v>
      </c>
      <c r="S25">
        <v>8.6262590000000007E-3</v>
      </c>
      <c r="T25">
        <v>44.667078885000002</v>
      </c>
      <c r="U25">
        <v>31.346722724999999</v>
      </c>
    </row>
    <row r="26" spans="2:23" x14ac:dyDescent="0.2">
      <c r="B26">
        <v>6</v>
      </c>
      <c r="C26">
        <v>7.4508759830000004</v>
      </c>
      <c r="D26">
        <v>22.810823974999899</v>
      </c>
      <c r="E26">
        <v>1.1885843E-2</v>
      </c>
      <c r="F26">
        <v>1.26635149999999E-2</v>
      </c>
      <c r="G26">
        <v>2.1602151999999899E-2</v>
      </c>
      <c r="H26">
        <v>1.44085019999999E-2</v>
      </c>
      <c r="I26">
        <v>2.207657E-2</v>
      </c>
      <c r="J26">
        <v>9.1547610000000001E-2</v>
      </c>
      <c r="K26">
        <v>0.99559034500000099</v>
      </c>
      <c r="L26">
        <v>1.47934390599999</v>
      </c>
      <c r="M26">
        <v>1.8181401E-2</v>
      </c>
      <c r="N26">
        <v>3.1755086999999897E-2</v>
      </c>
      <c r="O26">
        <v>2.3216191000000001E-2</v>
      </c>
      <c r="P26">
        <v>4.8322763999999997E-2</v>
      </c>
      <c r="Q26">
        <v>1.6649091000000001E-2</v>
      </c>
      <c r="R26">
        <v>1.5630756999999999E-2</v>
      </c>
      <c r="S26">
        <v>9.9386179999999893E-3</v>
      </c>
      <c r="T26">
        <v>44.593201811</v>
      </c>
      <c r="U26">
        <v>33.105493414000001</v>
      </c>
    </row>
    <row r="27" spans="2:23" x14ac:dyDescent="0.2">
      <c r="B27">
        <v>7</v>
      </c>
      <c r="C27">
        <v>7.3084655869999899</v>
      </c>
      <c r="D27">
        <v>22.423550133999999</v>
      </c>
      <c r="E27">
        <v>1.2466428999999999E-2</v>
      </c>
      <c r="F27">
        <v>1.3379607999999999E-2</v>
      </c>
      <c r="G27">
        <v>2.21556989999999E-2</v>
      </c>
      <c r="H27">
        <v>1.4972677999999901E-2</v>
      </c>
      <c r="I27">
        <v>2.3433133999999901E-2</v>
      </c>
      <c r="J27">
        <v>9.5719667999999897E-2</v>
      </c>
      <c r="K27">
        <v>0.99548436199999901</v>
      </c>
      <c r="L27">
        <v>1.4640565459999999</v>
      </c>
      <c r="M27">
        <v>1.8684092999999902E-2</v>
      </c>
      <c r="N27">
        <v>3.2627214999999897E-2</v>
      </c>
      <c r="O27">
        <v>2.3869406999999902E-2</v>
      </c>
      <c r="P27">
        <v>5.0014802999999997E-2</v>
      </c>
      <c r="Q27">
        <v>1.7272931999999901E-2</v>
      </c>
      <c r="R27">
        <v>1.6310773000000001E-2</v>
      </c>
      <c r="S27">
        <v>1.0583215999999999E-2</v>
      </c>
      <c r="T27">
        <v>44.941498164000002</v>
      </c>
      <c r="U27">
        <v>32.575561434999997</v>
      </c>
    </row>
    <row r="28" spans="2:23" x14ac:dyDescent="0.2">
      <c r="B28">
        <v>8</v>
      </c>
      <c r="C28">
        <v>7.31615744199999</v>
      </c>
      <c r="D28">
        <v>22.429028375000001</v>
      </c>
      <c r="E28">
        <v>1.4834576999999899E-2</v>
      </c>
      <c r="F28">
        <v>1.5762637999999898E-2</v>
      </c>
      <c r="G28">
        <v>2.4891438999999901E-2</v>
      </c>
      <c r="H28">
        <v>1.7626726999999998E-2</v>
      </c>
      <c r="I28">
        <v>2.8337721E-2</v>
      </c>
      <c r="J28">
        <v>0.11666834599999901</v>
      </c>
      <c r="K28">
        <v>1.001137798</v>
      </c>
      <c r="L28">
        <v>1.5000514679999899</v>
      </c>
      <c r="M28">
        <v>2.1039938000000001E-2</v>
      </c>
      <c r="N28">
        <v>3.4517692999999898E-2</v>
      </c>
      <c r="O28">
        <v>2.6916608000000002E-2</v>
      </c>
      <c r="P28">
        <v>5.9800813999999897E-2</v>
      </c>
      <c r="Q28">
        <v>1.9532895000000002E-2</v>
      </c>
      <c r="R28">
        <v>1.8909735999999899E-2</v>
      </c>
      <c r="S28">
        <v>1.31030319999999E-2</v>
      </c>
      <c r="T28">
        <v>44.047112364</v>
      </c>
      <c r="U28">
        <v>32.697722216000003</v>
      </c>
    </row>
    <row r="29" spans="2:23" x14ac:dyDescent="0.2">
      <c r="B29">
        <v>9</v>
      </c>
      <c r="C29">
        <v>7.3635747799999898</v>
      </c>
      <c r="D29">
        <v>19.412077258999901</v>
      </c>
      <c r="E29">
        <v>9.1873189999999907E-3</v>
      </c>
      <c r="F29">
        <v>9.6458380000000003E-3</v>
      </c>
      <c r="G29">
        <v>1.8749375999999901E-2</v>
      </c>
      <c r="H29">
        <v>1.1654217999999999E-2</v>
      </c>
      <c r="I29">
        <v>1.6201801999999901E-2</v>
      </c>
      <c r="J29">
        <v>6.9899893000000005E-2</v>
      </c>
      <c r="K29">
        <v>1.0262076280000001</v>
      </c>
      <c r="L29">
        <v>1.507725419</v>
      </c>
      <c r="M29">
        <v>1.4650526000000001E-2</v>
      </c>
      <c r="N29">
        <v>2.8990393E-2</v>
      </c>
      <c r="O29">
        <v>1.92428989999999E-2</v>
      </c>
      <c r="P29">
        <v>3.8904999000000003E-2</v>
      </c>
      <c r="Q29">
        <v>1.3895174E-2</v>
      </c>
      <c r="R29">
        <v>1.2817033999999901E-2</v>
      </c>
      <c r="S29">
        <v>7.44480199999999E-3</v>
      </c>
      <c r="T29">
        <v>44.542719206000001</v>
      </c>
      <c r="U29">
        <v>29.604357673999999</v>
      </c>
    </row>
    <row r="30" spans="2:23" x14ac:dyDescent="0.2">
      <c r="B30" s="1" t="s">
        <v>21</v>
      </c>
      <c r="C30" s="1">
        <v>7.4008092825999903</v>
      </c>
      <c r="D30" s="1">
        <v>22.1151813416</v>
      </c>
      <c r="E30" s="1">
        <v>1.21111953E-2</v>
      </c>
      <c r="F30" s="1">
        <v>1.29574681999999E-2</v>
      </c>
      <c r="G30" s="1">
        <v>2.1905743099999899E-2</v>
      </c>
      <c r="H30" s="1">
        <v>1.47182786999999E-2</v>
      </c>
      <c r="I30" s="1">
        <v>2.2763139799999998E-2</v>
      </c>
      <c r="J30" s="1">
        <v>9.3427465799999998E-2</v>
      </c>
      <c r="K30" s="1">
        <v>1.0199779689999999</v>
      </c>
      <c r="L30" s="1">
        <v>1.4899430571999901</v>
      </c>
      <c r="M30" s="1">
        <v>1.8267769900000001E-2</v>
      </c>
      <c r="N30" s="1">
        <v>3.2007168499999898E-2</v>
      </c>
      <c r="O30" s="1">
        <v>2.32702768999999E-2</v>
      </c>
      <c r="P30" s="1">
        <v>4.90874935999999E-2</v>
      </c>
      <c r="Q30" s="1">
        <v>1.68652153E-2</v>
      </c>
      <c r="R30" s="1">
        <v>1.5960736999999899E-2</v>
      </c>
      <c r="S30" s="1">
        <v>1.0287948999999999E-2</v>
      </c>
      <c r="T30" s="1">
        <v>44.704140538099999</v>
      </c>
      <c r="U30" s="1">
        <v>32.4013560924</v>
      </c>
    </row>
  </sheetData>
  <mergeCells count="2">
    <mergeCell ref="C3:O3"/>
    <mergeCell ref="B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374F-425A-0C4A-B316-973C7C980C22}">
  <dimension ref="A1:U30"/>
  <sheetViews>
    <sheetView workbookViewId="0">
      <selection activeCell="C30" sqref="C30:U30"/>
    </sheetView>
  </sheetViews>
  <sheetFormatPr baseColWidth="10" defaultRowHeight="16" x14ac:dyDescent="0.2"/>
  <cols>
    <col min="3" max="3" width="16.6640625" bestFit="1" customWidth="1"/>
    <col min="4" max="4" width="21.83203125" bestFit="1" customWidth="1"/>
    <col min="5" max="5" width="15.33203125" bestFit="1" customWidth="1"/>
    <col min="6" max="6" width="18.5" bestFit="1" customWidth="1"/>
    <col min="7" max="7" width="19.5" bestFit="1" customWidth="1"/>
    <col min="8" max="8" width="16.5" bestFit="1" customWidth="1"/>
    <col min="9" max="9" width="20.1640625" bestFit="1" customWidth="1"/>
    <col min="10" max="10" width="22.5" bestFit="1" customWidth="1"/>
    <col min="11" max="11" width="12.33203125" bestFit="1" customWidth="1"/>
    <col min="12" max="12" width="14.5" bestFit="1" customWidth="1"/>
    <col min="13" max="13" width="17" bestFit="1" customWidth="1"/>
    <col min="14" max="14" width="15.83203125" bestFit="1" customWidth="1"/>
    <col min="15" max="15" width="21" bestFit="1" customWidth="1"/>
    <col min="16" max="16" width="12.1640625" bestFit="1" customWidth="1"/>
    <col min="17" max="17" width="16.33203125" bestFit="1" customWidth="1"/>
    <col min="18" max="21" width="12.1640625" bestFit="1" customWidth="1"/>
  </cols>
  <sheetData>
    <row r="1" spans="1:15" x14ac:dyDescent="0.2">
      <c r="A1" s="1" t="s">
        <v>0</v>
      </c>
      <c r="B1" s="1" t="s">
        <v>1</v>
      </c>
    </row>
    <row r="2" spans="1:15" x14ac:dyDescent="0.2">
      <c r="A2" t="s">
        <v>4</v>
      </c>
      <c r="B2" t="s">
        <v>3</v>
      </c>
    </row>
    <row r="3" spans="1:15" x14ac:dyDescent="0.2">
      <c r="C3" s="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">
      <c r="B4" s="1" t="s">
        <v>27</v>
      </c>
      <c r="C4" s="1" t="s">
        <v>5</v>
      </c>
      <c r="D4" s="1" t="s">
        <v>6</v>
      </c>
      <c r="E4" s="1" t="s">
        <v>32</v>
      </c>
      <c r="F4" s="1" t="s">
        <v>33</v>
      </c>
      <c r="G4" s="1" t="s">
        <v>34</v>
      </c>
      <c r="H4" s="1" t="s">
        <v>7</v>
      </c>
      <c r="I4" s="1" t="s">
        <v>13</v>
      </c>
      <c r="J4" s="1" t="s">
        <v>14</v>
      </c>
      <c r="K4" s="1" t="s">
        <v>35</v>
      </c>
      <c r="L4" s="1" t="s">
        <v>36</v>
      </c>
      <c r="M4" s="1" t="s">
        <v>15</v>
      </c>
      <c r="N4" s="1" t="s">
        <v>16</v>
      </c>
      <c r="O4" s="1" t="s">
        <v>17</v>
      </c>
    </row>
    <row r="5" spans="1:15" x14ac:dyDescent="0.2">
      <c r="B5">
        <v>0</v>
      </c>
      <c r="C5">
        <v>2.5658337E-2</v>
      </c>
      <c r="D5">
        <v>10.093682463</v>
      </c>
      <c r="E5">
        <v>2.3356965279999899</v>
      </c>
      <c r="F5">
        <v>6.9424951999999804E-2</v>
      </c>
      <c r="G5">
        <v>0.58602730300000105</v>
      </c>
      <c r="H5">
        <v>0.119650152</v>
      </c>
      <c r="I5">
        <v>0.67160559399999997</v>
      </c>
      <c r="J5">
        <v>5.0263704220000003</v>
      </c>
      <c r="K5">
        <v>9.9511652299999902</v>
      </c>
      <c r="L5">
        <v>0.375086950999999</v>
      </c>
      <c r="M5">
        <v>2.38158279999999E-2</v>
      </c>
      <c r="N5">
        <v>0.58706498600000001</v>
      </c>
      <c r="O5">
        <v>29.296331703</v>
      </c>
    </row>
    <row r="6" spans="1:15" x14ac:dyDescent="0.2">
      <c r="B6">
        <v>1</v>
      </c>
      <c r="C6">
        <v>2.6117731000000002E-2</v>
      </c>
      <c r="D6">
        <v>10.093207673</v>
      </c>
      <c r="E6">
        <v>2.3354211849999902</v>
      </c>
      <c r="F6">
        <v>6.9868729999999907E-2</v>
      </c>
      <c r="G6">
        <v>0.58612498400000002</v>
      </c>
      <c r="H6">
        <v>0.120571596999999</v>
      </c>
      <c r="I6">
        <v>0.67255381299999795</v>
      </c>
      <c r="J6">
        <v>5.02376399799999</v>
      </c>
      <c r="K6">
        <v>9.9486751629999901</v>
      </c>
      <c r="L6">
        <v>0.37712743699999901</v>
      </c>
      <c r="M6">
        <v>2.40840149999999E-2</v>
      </c>
      <c r="N6">
        <v>0.58786943700000005</v>
      </c>
      <c r="O6">
        <v>29.295960938</v>
      </c>
    </row>
    <row r="7" spans="1:15" x14ac:dyDescent="0.2">
      <c r="B7">
        <v>2</v>
      </c>
      <c r="C7">
        <v>2.5716586999999898E-2</v>
      </c>
      <c r="D7">
        <v>10.0858451799999</v>
      </c>
      <c r="E7">
        <v>2.334463183</v>
      </c>
      <c r="F7">
        <v>6.9381901999999898E-2</v>
      </c>
      <c r="G7">
        <v>0.58605405499999996</v>
      </c>
      <c r="H7">
        <v>0.119483336999999</v>
      </c>
      <c r="I7">
        <v>0.67152304200000001</v>
      </c>
      <c r="J7">
        <v>5.0294800439999898</v>
      </c>
      <c r="K7">
        <v>9.9507343529999801</v>
      </c>
      <c r="L7">
        <v>0.37440991299999998</v>
      </c>
      <c r="M7">
        <v>2.3655680999999901E-2</v>
      </c>
      <c r="N7">
        <v>0.59000862700000001</v>
      </c>
      <c r="O7">
        <v>29.289230675999999</v>
      </c>
    </row>
    <row r="8" spans="1:15" x14ac:dyDescent="0.2">
      <c r="B8">
        <v>3</v>
      </c>
      <c r="C8">
        <v>2.5602241000000001E-2</v>
      </c>
      <c r="D8">
        <v>10.0942111739999</v>
      </c>
      <c r="E8">
        <v>2.3348518619999998</v>
      </c>
      <c r="F8">
        <v>6.9413334000000104E-2</v>
      </c>
      <c r="G8">
        <v>0.58577078400000004</v>
      </c>
      <c r="H8">
        <v>0.11941281499999901</v>
      </c>
      <c r="I8">
        <v>0.67177803199999897</v>
      </c>
      <c r="J8">
        <v>5.0270572470000001</v>
      </c>
      <c r="K8">
        <v>9.9493412180000007</v>
      </c>
      <c r="L8">
        <v>0.37423348699999898</v>
      </c>
      <c r="M8">
        <v>2.36104579999999E-2</v>
      </c>
      <c r="N8">
        <v>0.57972277400000005</v>
      </c>
      <c r="O8">
        <v>29.293794720000001</v>
      </c>
    </row>
    <row r="9" spans="1:15" x14ac:dyDescent="0.2">
      <c r="B9">
        <v>4</v>
      </c>
      <c r="C9">
        <v>2.5563717999999999E-2</v>
      </c>
      <c r="D9">
        <v>10.089171578</v>
      </c>
      <c r="E9">
        <v>2.3348916059999998</v>
      </c>
      <c r="F9">
        <v>6.9234457999999999E-2</v>
      </c>
      <c r="G9">
        <v>0.58554126699999998</v>
      </c>
      <c r="H9">
        <v>0.11848811300000001</v>
      </c>
      <c r="I9">
        <v>0.67167505500000002</v>
      </c>
      <c r="J9">
        <v>5.0229294330000096</v>
      </c>
      <c r="K9">
        <v>9.9507623999999897</v>
      </c>
      <c r="L9">
        <v>0.374504591</v>
      </c>
      <c r="M9">
        <v>2.3632976999999999E-2</v>
      </c>
      <c r="N9">
        <v>0.58698483199999996</v>
      </c>
      <c r="O9">
        <v>29.284437164</v>
      </c>
    </row>
    <row r="10" spans="1:15" x14ac:dyDescent="0.2">
      <c r="B10">
        <v>5</v>
      </c>
      <c r="C10">
        <v>2.5582337999999899E-2</v>
      </c>
      <c r="D10">
        <v>10.091677192000001</v>
      </c>
      <c r="E10">
        <v>2.3338897409999899</v>
      </c>
      <c r="F10">
        <v>6.9303388999999896E-2</v>
      </c>
      <c r="G10">
        <v>0.58556129800000001</v>
      </c>
      <c r="H10">
        <v>0.119283062</v>
      </c>
      <c r="I10">
        <v>0.67143237300000103</v>
      </c>
      <c r="J10">
        <v>5.0257071829999997</v>
      </c>
      <c r="K10">
        <v>9.9482321210000002</v>
      </c>
      <c r="L10">
        <v>0.373783804</v>
      </c>
      <c r="M10">
        <v>2.3626337000000001E-2</v>
      </c>
      <c r="N10">
        <v>0.585429219</v>
      </c>
      <c r="O10">
        <v>29.285996446999999</v>
      </c>
    </row>
    <row r="11" spans="1:15" x14ac:dyDescent="0.2">
      <c r="B11">
        <v>6</v>
      </c>
      <c r="C11">
        <v>2.5649974999999901E-2</v>
      </c>
      <c r="D11">
        <v>10.092924089</v>
      </c>
      <c r="E11">
        <v>2.3345521119999999</v>
      </c>
      <c r="F11">
        <v>6.9512702999999898E-2</v>
      </c>
      <c r="G11">
        <v>0.58594524999999897</v>
      </c>
      <c r="H11">
        <v>0.11947503900000001</v>
      </c>
      <c r="I11">
        <v>0.67165192299999898</v>
      </c>
      <c r="J11">
        <v>5.0327991549999904</v>
      </c>
      <c r="K11">
        <v>9.9519940199999901</v>
      </c>
      <c r="L11">
        <v>0.37499023199999898</v>
      </c>
      <c r="M11">
        <v>2.3805277E-2</v>
      </c>
      <c r="N11">
        <v>0.590182557</v>
      </c>
      <c r="O11">
        <v>29.301290112</v>
      </c>
    </row>
    <row r="12" spans="1:15" x14ac:dyDescent="0.2">
      <c r="B12">
        <v>7</v>
      </c>
      <c r="C12">
        <v>2.5590978999999899E-2</v>
      </c>
      <c r="D12">
        <v>10.090467065</v>
      </c>
      <c r="E12">
        <v>2.3349920929999901</v>
      </c>
      <c r="F12">
        <v>6.9451468999999905E-2</v>
      </c>
      <c r="G12">
        <v>0.58626539</v>
      </c>
      <c r="H12">
        <v>0.119900559999999</v>
      </c>
      <c r="I12">
        <v>0.67195465299999901</v>
      </c>
      <c r="J12">
        <v>5.0288948449999902</v>
      </c>
      <c r="K12">
        <v>9.9484108240000104</v>
      </c>
      <c r="L12">
        <v>0.37497456699999798</v>
      </c>
      <c r="M12">
        <v>2.3692873999999999E-2</v>
      </c>
      <c r="N12">
        <v>0.58494116900000004</v>
      </c>
      <c r="O12">
        <v>29.292886993</v>
      </c>
    </row>
    <row r="13" spans="1:15" x14ac:dyDescent="0.2">
      <c r="B13">
        <v>8</v>
      </c>
      <c r="C13">
        <v>2.5695407999999999E-2</v>
      </c>
      <c r="D13">
        <v>10.096569122</v>
      </c>
      <c r="E13">
        <v>2.3356758239999902</v>
      </c>
      <c r="F13">
        <v>6.9783545000000002E-2</v>
      </c>
      <c r="G13">
        <v>0.58585584799999901</v>
      </c>
      <c r="H13">
        <v>0.11943102799999999</v>
      </c>
      <c r="I13">
        <v>0.67184591299999996</v>
      </c>
      <c r="J13">
        <v>5.0319200479999999</v>
      </c>
      <c r="K13">
        <v>9.9486950479999905</v>
      </c>
      <c r="L13">
        <v>0.37527459000000002</v>
      </c>
      <c r="M13">
        <v>2.3776411000000001E-2</v>
      </c>
      <c r="N13">
        <v>0.58932202600000005</v>
      </c>
      <c r="O13">
        <v>29.302501491000001</v>
      </c>
    </row>
    <row r="14" spans="1:15" x14ac:dyDescent="0.2">
      <c r="B14">
        <v>9</v>
      </c>
      <c r="C14">
        <v>2.5868881999999899E-2</v>
      </c>
      <c r="D14">
        <v>10.0974611769999</v>
      </c>
      <c r="E14">
        <v>2.3352196699999999</v>
      </c>
      <c r="F14">
        <v>6.9648502000000001E-2</v>
      </c>
      <c r="G14">
        <v>0.58641217499999898</v>
      </c>
      <c r="H14">
        <v>0.12063270499999899</v>
      </c>
      <c r="I14">
        <v>0.67236594999999999</v>
      </c>
      <c r="J14">
        <v>5.0378034949999799</v>
      </c>
      <c r="K14">
        <v>9.9517345579999894</v>
      </c>
      <c r="L14">
        <v>0.375970167999998</v>
      </c>
      <c r="M14">
        <v>2.38891579999999E-2</v>
      </c>
      <c r="N14">
        <v>0.58628258099999997</v>
      </c>
      <c r="O14">
        <v>29.315214963999999</v>
      </c>
    </row>
    <row r="15" spans="1:15" x14ac:dyDescent="0.2">
      <c r="B15" s="1" t="s">
        <v>22</v>
      </c>
      <c r="C15" s="1">
        <v>2.5704619599999898E-2</v>
      </c>
      <c r="D15" s="1">
        <v>10.0925216713</v>
      </c>
      <c r="E15" s="1">
        <v>2.3349653803999901</v>
      </c>
      <c r="F15" s="1">
        <v>6.9502298399999898E-2</v>
      </c>
      <c r="G15" s="1">
        <v>0.58595583539999996</v>
      </c>
      <c r="H15" s="1">
        <v>0.1196328408</v>
      </c>
      <c r="I15" s="1">
        <v>0.67183863479999895</v>
      </c>
      <c r="J15" s="1">
        <v>5.028672587</v>
      </c>
      <c r="K15" s="1">
        <v>9.9499744934999903</v>
      </c>
      <c r="L15" s="1">
        <v>0.37503557399999898</v>
      </c>
      <c r="M15" s="1">
        <v>2.3758901599999899E-2</v>
      </c>
      <c r="N15" s="1">
        <v>0.58678082080000005</v>
      </c>
      <c r="O15" s="1">
        <v>29.295764520799999</v>
      </c>
    </row>
    <row r="18" spans="2:21" x14ac:dyDescent="0.2">
      <c r="B18" s="6" t="s">
        <v>26</v>
      </c>
      <c r="C18" s="6"/>
      <c r="D18" s="6"/>
      <c r="E18" s="6"/>
      <c r="F18" s="6"/>
      <c r="G18" s="6"/>
    </row>
    <row r="19" spans="2:21" x14ac:dyDescent="0.2">
      <c r="B19" s="1" t="s">
        <v>27</v>
      </c>
      <c r="C19" s="1" t="s">
        <v>28</v>
      </c>
      <c r="D19" s="1" t="s">
        <v>29</v>
      </c>
      <c r="E19" s="1" t="s">
        <v>46</v>
      </c>
      <c r="F19" s="1" t="s">
        <v>47</v>
      </c>
      <c r="G19" s="1" t="s">
        <v>48</v>
      </c>
      <c r="H19" s="1" t="s">
        <v>49</v>
      </c>
      <c r="I19" s="1" t="s">
        <v>50</v>
      </c>
      <c r="J19" s="1" t="s">
        <v>51</v>
      </c>
      <c r="K19" s="1" t="s">
        <v>52</v>
      </c>
      <c r="L19" s="1" t="s">
        <v>30</v>
      </c>
      <c r="M19" s="1" t="s">
        <v>53</v>
      </c>
      <c r="N19" s="1" t="s">
        <v>54</v>
      </c>
      <c r="O19" s="1" t="s">
        <v>55</v>
      </c>
      <c r="P19" s="1" t="s">
        <v>13</v>
      </c>
      <c r="Q19" s="1" t="s">
        <v>56</v>
      </c>
      <c r="R19" s="1" t="s">
        <v>57</v>
      </c>
      <c r="S19" s="1" t="s">
        <v>15</v>
      </c>
      <c r="T19" s="1" t="s">
        <v>16</v>
      </c>
      <c r="U19" s="1" t="s">
        <v>17</v>
      </c>
    </row>
    <row r="20" spans="2:21" x14ac:dyDescent="0.2">
      <c r="B20">
        <v>0</v>
      </c>
      <c r="C20">
        <v>7.5513204099999802</v>
      </c>
      <c r="D20">
        <v>24.247446106999998</v>
      </c>
      <c r="E20">
        <v>2.7348827999999999E-2</v>
      </c>
      <c r="F20">
        <v>2.3291691E-2</v>
      </c>
      <c r="G20">
        <v>0.158967359</v>
      </c>
      <c r="H20">
        <v>7.3688180000000103E-2</v>
      </c>
      <c r="I20">
        <v>2.7546161999999999E-2</v>
      </c>
      <c r="J20">
        <v>0.110198801</v>
      </c>
      <c r="K20">
        <v>1.0297590569999999</v>
      </c>
      <c r="L20">
        <v>1.55953680699999</v>
      </c>
      <c r="M20">
        <v>6.5228102999999898E-2</v>
      </c>
      <c r="N20">
        <v>0.13467681100000001</v>
      </c>
      <c r="O20">
        <v>5.9815158999999903E-2</v>
      </c>
      <c r="P20">
        <v>7.0869253999999895E-2</v>
      </c>
      <c r="Q20">
        <v>0.111966368999999</v>
      </c>
      <c r="R20">
        <v>3.60062629999999E-2</v>
      </c>
      <c r="S20">
        <v>1.2321749999999999E-2</v>
      </c>
      <c r="T20">
        <v>44.581382001999998</v>
      </c>
      <c r="U20">
        <v>35.338243663</v>
      </c>
    </row>
    <row r="21" spans="2:21" x14ac:dyDescent="0.2">
      <c r="B21">
        <v>1</v>
      </c>
      <c r="C21">
        <v>7.2698827309999903</v>
      </c>
      <c r="D21">
        <v>21.404364184999999</v>
      </c>
      <c r="E21">
        <v>2.1344746000000001E-2</v>
      </c>
      <c r="F21">
        <v>1.7194567000000001E-2</v>
      </c>
      <c r="G21">
        <v>0.14631290999999999</v>
      </c>
      <c r="H21">
        <v>6.4450642000000002E-2</v>
      </c>
      <c r="I21">
        <v>1.8744515E-2</v>
      </c>
      <c r="J21">
        <v>7.9668263000000003E-2</v>
      </c>
      <c r="K21">
        <v>1.0394987149999899</v>
      </c>
      <c r="L21">
        <v>1.502645531</v>
      </c>
      <c r="M21">
        <v>5.4986146999999902E-2</v>
      </c>
      <c r="N21">
        <v>0.123220872999999</v>
      </c>
      <c r="O21">
        <v>5.1369063999999999E-2</v>
      </c>
      <c r="P21">
        <v>5.4733614999999999E-2</v>
      </c>
      <c r="Q21">
        <v>0.104926855999999</v>
      </c>
      <c r="R21">
        <v>2.9989466999999902E-2</v>
      </c>
      <c r="S21">
        <v>8.4618609999999993E-3</v>
      </c>
      <c r="T21">
        <v>44.629201148999996</v>
      </c>
      <c r="U21">
        <v>32.018775931999997</v>
      </c>
    </row>
    <row r="22" spans="2:21" x14ac:dyDescent="0.2">
      <c r="B22">
        <v>2</v>
      </c>
      <c r="C22">
        <v>7.3264641170000004</v>
      </c>
      <c r="D22">
        <v>22.466129992999999</v>
      </c>
      <c r="E22">
        <v>2.1883897999999902E-2</v>
      </c>
      <c r="F22">
        <v>1.6998016000000001E-2</v>
      </c>
      <c r="G22">
        <v>0.145709805999999</v>
      </c>
      <c r="H22">
        <v>6.4420937999999997E-2</v>
      </c>
      <c r="I22">
        <v>1.91661029999999E-2</v>
      </c>
      <c r="J22">
        <v>8.1488052000000005E-2</v>
      </c>
      <c r="K22">
        <v>1.0268953080000001</v>
      </c>
      <c r="L22">
        <v>1.50547849199999</v>
      </c>
      <c r="M22">
        <v>5.5976499999999901E-2</v>
      </c>
      <c r="N22">
        <v>0.12344206299999901</v>
      </c>
      <c r="O22">
        <v>5.2817087999999901E-2</v>
      </c>
      <c r="P22">
        <v>5.5508145000000002E-2</v>
      </c>
      <c r="Q22">
        <v>0.10604079999999901</v>
      </c>
      <c r="R22">
        <v>3.0152759000000001E-2</v>
      </c>
      <c r="S22">
        <v>8.7461080000000007E-3</v>
      </c>
      <c r="T22">
        <v>44.415855835999999</v>
      </c>
      <c r="U22">
        <v>33.134981281999998</v>
      </c>
    </row>
    <row r="23" spans="2:21" x14ac:dyDescent="0.2">
      <c r="B23">
        <v>3</v>
      </c>
      <c r="C23">
        <v>6.9689155059999903</v>
      </c>
      <c r="D23">
        <v>22.495646430000001</v>
      </c>
      <c r="E23">
        <v>2.1391297999999899E-2</v>
      </c>
      <c r="F23">
        <v>1.7374040999999899E-2</v>
      </c>
      <c r="G23">
        <v>0.14401679100000001</v>
      </c>
      <c r="H23">
        <v>6.4167501999999904E-2</v>
      </c>
      <c r="I23">
        <v>1.93272309999999E-2</v>
      </c>
      <c r="J23">
        <v>8.1496805999999894E-2</v>
      </c>
      <c r="K23">
        <v>0.99248199599999898</v>
      </c>
      <c r="L23">
        <v>1.4710147149999899</v>
      </c>
      <c r="M23">
        <v>5.4580605999999997E-2</v>
      </c>
      <c r="N23">
        <v>0.122943679999999</v>
      </c>
      <c r="O23">
        <v>5.1444298999999902E-2</v>
      </c>
      <c r="P23">
        <v>5.5920819999999899E-2</v>
      </c>
      <c r="Q23">
        <v>0.10951282699999999</v>
      </c>
      <c r="R23">
        <v>2.9763003999999899E-2</v>
      </c>
      <c r="S23">
        <v>8.6898849999999892E-3</v>
      </c>
      <c r="T23">
        <v>44.570476214999999</v>
      </c>
      <c r="U23">
        <v>32.736548630000001</v>
      </c>
    </row>
    <row r="24" spans="2:21" x14ac:dyDescent="0.2">
      <c r="B24">
        <v>4</v>
      </c>
      <c r="C24">
        <v>7.2512274760000102</v>
      </c>
      <c r="D24">
        <v>24.166148569999901</v>
      </c>
      <c r="E24">
        <v>2.3038829999999899E-2</v>
      </c>
      <c r="F24">
        <v>1.8695356E-2</v>
      </c>
      <c r="G24">
        <v>0.14824976500000001</v>
      </c>
      <c r="H24">
        <v>7.0914667999999806E-2</v>
      </c>
      <c r="I24">
        <v>2.2338318999999902E-2</v>
      </c>
      <c r="J24">
        <v>9.1780653999999906E-2</v>
      </c>
      <c r="K24">
        <v>1.0279256779999899</v>
      </c>
      <c r="L24">
        <v>1.4851478469999999</v>
      </c>
      <c r="M24">
        <v>6.1005547E-2</v>
      </c>
      <c r="N24">
        <v>0.126195998999999</v>
      </c>
      <c r="O24">
        <v>5.6547677999999997E-2</v>
      </c>
      <c r="P24">
        <v>6.2264739999999902E-2</v>
      </c>
      <c r="Q24">
        <v>0.10774690299999901</v>
      </c>
      <c r="R24">
        <v>3.1223648999999999E-2</v>
      </c>
      <c r="S24">
        <v>1.0053657999999899E-2</v>
      </c>
      <c r="T24">
        <v>44.435750783000003</v>
      </c>
      <c r="U24">
        <v>34.791765472999998</v>
      </c>
    </row>
    <row r="25" spans="2:21" x14ac:dyDescent="0.2">
      <c r="B25">
        <v>5</v>
      </c>
      <c r="C25">
        <v>7.6200290430000104</v>
      </c>
      <c r="D25">
        <v>22.806770280999999</v>
      </c>
      <c r="E25">
        <v>2.4653596999999999E-2</v>
      </c>
      <c r="F25">
        <v>2.0331005999999999E-2</v>
      </c>
      <c r="G25">
        <v>0.15134049299999999</v>
      </c>
      <c r="H25">
        <v>6.8483931999999997E-2</v>
      </c>
      <c r="I25">
        <v>2.5593478999999999E-2</v>
      </c>
      <c r="J25">
        <v>0.10309397300000001</v>
      </c>
      <c r="K25">
        <v>1.0561028050000001</v>
      </c>
      <c r="L25">
        <v>1.5346946829999999</v>
      </c>
      <c r="M25">
        <v>6.1456138999999903E-2</v>
      </c>
      <c r="N25">
        <v>0.130431254999999</v>
      </c>
      <c r="O25">
        <v>5.73902359999999E-2</v>
      </c>
      <c r="P25">
        <v>6.6581584000000096E-2</v>
      </c>
      <c r="Q25">
        <v>0.10899137</v>
      </c>
      <c r="R25">
        <v>3.3565759000000001E-2</v>
      </c>
      <c r="S25">
        <v>1.1520897999999899E-2</v>
      </c>
      <c r="T25">
        <v>44.333628619000002</v>
      </c>
      <c r="U25">
        <v>33.916633288</v>
      </c>
    </row>
    <row r="26" spans="2:21" x14ac:dyDescent="0.2">
      <c r="B26">
        <v>6</v>
      </c>
      <c r="C26">
        <v>6.906543375</v>
      </c>
      <c r="D26">
        <v>21.649262527999898</v>
      </c>
      <c r="E26">
        <v>2.2310980000000001E-2</v>
      </c>
      <c r="F26">
        <v>1.7362046999999901E-2</v>
      </c>
      <c r="G26">
        <v>0.14566406100000001</v>
      </c>
      <c r="H26">
        <v>6.5316368E-2</v>
      </c>
      <c r="I26">
        <v>2.0239139E-2</v>
      </c>
      <c r="J26">
        <v>8.4663461999999995E-2</v>
      </c>
      <c r="K26">
        <v>0.95842297399999998</v>
      </c>
      <c r="L26">
        <v>1.4724399029999899</v>
      </c>
      <c r="M26">
        <v>6.0050554999999999E-2</v>
      </c>
      <c r="N26">
        <v>0.125079679999999</v>
      </c>
      <c r="O26">
        <v>5.1933507999999899E-2</v>
      </c>
      <c r="P26">
        <v>5.8317038999999897E-2</v>
      </c>
      <c r="Q26">
        <v>0.105434426</v>
      </c>
      <c r="R26">
        <v>3.0656197E-2</v>
      </c>
      <c r="S26">
        <v>9.1085229999999899E-3</v>
      </c>
      <c r="T26">
        <v>44.570538892000002</v>
      </c>
      <c r="U26">
        <v>31.811781061000001</v>
      </c>
    </row>
    <row r="27" spans="2:21" x14ac:dyDescent="0.2">
      <c r="B27">
        <v>7</v>
      </c>
      <c r="C27">
        <v>6.9750089059999896</v>
      </c>
      <c r="D27">
        <v>22.571584022</v>
      </c>
      <c r="E27">
        <v>2.1942482999999999E-2</v>
      </c>
      <c r="F27">
        <v>1.63554299999999E-2</v>
      </c>
      <c r="G27">
        <v>0.145589158</v>
      </c>
      <c r="H27">
        <v>6.4587031000000003E-2</v>
      </c>
      <c r="I27">
        <v>1.98113E-2</v>
      </c>
      <c r="J27">
        <v>8.4279973999999994E-2</v>
      </c>
      <c r="K27">
        <v>0.95833263700000004</v>
      </c>
      <c r="L27">
        <v>1.4730278189999899</v>
      </c>
      <c r="M27">
        <v>5.5542592999999897E-2</v>
      </c>
      <c r="N27">
        <v>0.12401807399999901</v>
      </c>
      <c r="O27">
        <v>5.2996541000000098E-2</v>
      </c>
      <c r="P27">
        <v>5.6223126999999998E-2</v>
      </c>
      <c r="Q27">
        <v>0.105089269999999</v>
      </c>
      <c r="R27">
        <v>3.0083537E-2</v>
      </c>
      <c r="S27">
        <v>9.0125689999999894E-3</v>
      </c>
      <c r="T27">
        <v>44.430006251999998</v>
      </c>
      <c r="U27">
        <v>32.791702336</v>
      </c>
    </row>
    <row r="28" spans="2:21" x14ac:dyDescent="0.2">
      <c r="B28">
        <v>8</v>
      </c>
      <c r="C28">
        <v>7.0259362999999899</v>
      </c>
      <c r="D28">
        <v>21.658646385999901</v>
      </c>
      <c r="E28">
        <v>2.0627121000000002E-2</v>
      </c>
      <c r="F28">
        <v>1.6267680999999999E-2</v>
      </c>
      <c r="G28">
        <v>0.143698732999999</v>
      </c>
      <c r="H28">
        <v>6.3873458999999994E-2</v>
      </c>
      <c r="I28">
        <v>1.6579975E-2</v>
      </c>
      <c r="J28">
        <v>7.2332363999999899E-2</v>
      </c>
      <c r="K28">
        <v>1.0161890119999899</v>
      </c>
      <c r="L28">
        <v>1.486110949</v>
      </c>
      <c r="M28">
        <v>5.0317859999999999E-2</v>
      </c>
      <c r="N28">
        <v>0.12218572</v>
      </c>
      <c r="O28">
        <v>4.7604535000000003E-2</v>
      </c>
      <c r="P28">
        <v>5.1483073999999997E-2</v>
      </c>
      <c r="Q28">
        <v>0.105260303999999</v>
      </c>
      <c r="R28">
        <v>2.8828474999999899E-2</v>
      </c>
      <c r="S28">
        <v>7.7234779999999902E-3</v>
      </c>
      <c r="T28">
        <v>44.663933141000001</v>
      </c>
      <c r="U28">
        <v>31.958183706</v>
      </c>
    </row>
    <row r="29" spans="2:21" x14ac:dyDescent="0.2">
      <c r="B29">
        <v>9</v>
      </c>
      <c r="C29">
        <v>7.2274018779999798</v>
      </c>
      <c r="D29">
        <v>24.207679746999901</v>
      </c>
      <c r="E29">
        <v>2.4203506999999999E-2</v>
      </c>
      <c r="F29">
        <v>1.9280820000000001E-2</v>
      </c>
      <c r="G29">
        <v>0.151212824999999</v>
      </c>
      <c r="H29">
        <v>6.8203349999999996E-2</v>
      </c>
      <c r="I29">
        <v>2.5144103000000001E-2</v>
      </c>
      <c r="J29">
        <v>0.10115323599999899</v>
      </c>
      <c r="K29">
        <v>1.042490492</v>
      </c>
      <c r="L29">
        <v>1.50019079</v>
      </c>
      <c r="M29">
        <v>5.8215439999999903E-2</v>
      </c>
      <c r="N29">
        <v>0.12911028899999899</v>
      </c>
      <c r="O29">
        <v>5.8745251999999998E-2</v>
      </c>
      <c r="P29">
        <v>6.4507741999999896E-2</v>
      </c>
      <c r="Q29">
        <v>0.109052889</v>
      </c>
      <c r="R29">
        <v>3.2762976999999999E-2</v>
      </c>
      <c r="S29">
        <v>1.1289560000000001E-2</v>
      </c>
      <c r="T29">
        <v>44.863111512000003</v>
      </c>
      <c r="U29">
        <v>34.865582537000002</v>
      </c>
    </row>
    <row r="30" spans="2:21" x14ac:dyDescent="0.2">
      <c r="B30" s="1" t="s">
        <v>22</v>
      </c>
      <c r="C30" s="1">
        <v>7.2122729741999896</v>
      </c>
      <c r="D30" s="1">
        <v>22.767367824899999</v>
      </c>
      <c r="E30" s="1">
        <v>2.2874528799999998E-2</v>
      </c>
      <c r="F30" s="1">
        <v>1.8315065500000002E-2</v>
      </c>
      <c r="G30" s="1">
        <v>0.1480761901</v>
      </c>
      <c r="H30" s="1">
        <v>6.6810606999999994E-2</v>
      </c>
      <c r="I30" s="1">
        <v>2.1449032600000001E-2</v>
      </c>
      <c r="J30" s="1">
        <v>8.9015558499999994E-2</v>
      </c>
      <c r="K30" s="1">
        <v>1.0148098673999999</v>
      </c>
      <c r="L30" s="1">
        <v>1.4990287536</v>
      </c>
      <c r="M30" s="1">
        <v>5.7735948999999898E-2</v>
      </c>
      <c r="N30" s="1">
        <v>0.12613044439999899</v>
      </c>
      <c r="O30" s="1">
        <v>5.4066336E-2</v>
      </c>
      <c r="P30" s="1">
        <v>5.9640913999999899E-2</v>
      </c>
      <c r="Q30" s="1">
        <v>0.10740220139999899</v>
      </c>
      <c r="R30" s="1">
        <v>3.1303208699999897E-2</v>
      </c>
      <c r="S30" s="1">
        <v>9.6928289999999896E-3</v>
      </c>
      <c r="T30" s="1">
        <v>44.549388440100003</v>
      </c>
      <c r="U30" s="1">
        <v>33.336419790800001</v>
      </c>
    </row>
  </sheetData>
  <mergeCells count="2">
    <mergeCell ref="C3:O3"/>
    <mergeCell ref="B18:G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BDD0-3A87-544A-A16E-D142A4C1F8FB}">
  <dimension ref="A1:U30"/>
  <sheetViews>
    <sheetView workbookViewId="0">
      <selection activeCell="C30" sqref="C30:U30"/>
    </sheetView>
  </sheetViews>
  <sheetFormatPr baseColWidth="10" defaultRowHeight="16" x14ac:dyDescent="0.2"/>
  <cols>
    <col min="3" max="3" width="16.6640625" bestFit="1" customWidth="1"/>
    <col min="4" max="4" width="21.83203125" bestFit="1" customWidth="1"/>
    <col min="5" max="5" width="14.1640625" bestFit="1" customWidth="1"/>
    <col min="6" max="6" width="13" bestFit="1" customWidth="1"/>
    <col min="7" max="7" width="13.83203125" bestFit="1" customWidth="1"/>
    <col min="8" max="8" width="15.33203125" bestFit="1" customWidth="1"/>
    <col min="9" max="9" width="12.1640625" bestFit="1" customWidth="1"/>
    <col min="10" max="10" width="15.5" bestFit="1" customWidth="1"/>
    <col min="11" max="11" width="12.1640625" bestFit="1" customWidth="1"/>
    <col min="12" max="12" width="14.5" bestFit="1" customWidth="1"/>
    <col min="13" max="15" width="12.1640625" bestFit="1" customWidth="1"/>
  </cols>
  <sheetData>
    <row r="1" spans="1:15" x14ac:dyDescent="0.2">
      <c r="A1" s="1" t="s">
        <v>0</v>
      </c>
      <c r="B1" s="1" t="s">
        <v>1</v>
      </c>
    </row>
    <row r="2" spans="1:15" x14ac:dyDescent="0.2">
      <c r="A2" t="s">
        <v>4</v>
      </c>
      <c r="B2" t="s">
        <v>3</v>
      </c>
    </row>
    <row r="3" spans="1:15" x14ac:dyDescent="0.2">
      <c r="C3" s="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">
      <c r="B4" s="1" t="s">
        <v>27</v>
      </c>
      <c r="C4" s="1" t="s">
        <v>5</v>
      </c>
      <c r="D4" s="1" t="s">
        <v>6</v>
      </c>
      <c r="E4" s="1" t="s">
        <v>32</v>
      </c>
      <c r="F4" s="1" t="s">
        <v>33</v>
      </c>
      <c r="G4" s="1" t="s">
        <v>34</v>
      </c>
      <c r="H4" s="1" t="s">
        <v>7</v>
      </c>
      <c r="I4" s="1" t="s">
        <v>13</v>
      </c>
      <c r="J4" s="1" t="s">
        <v>14</v>
      </c>
      <c r="K4" s="1" t="s">
        <v>35</v>
      </c>
      <c r="L4" s="1" t="s">
        <v>36</v>
      </c>
      <c r="M4" s="1" t="s">
        <v>15</v>
      </c>
      <c r="N4" s="1" t="s">
        <v>16</v>
      </c>
      <c r="O4" s="1" t="s">
        <v>17</v>
      </c>
    </row>
    <row r="5" spans="1:15" x14ac:dyDescent="0.2">
      <c r="B5">
        <v>0</v>
      </c>
      <c r="C5">
        <v>2.5381299999999999E-2</v>
      </c>
      <c r="D5">
        <v>10.094796578999899</v>
      </c>
      <c r="E5">
        <v>2.3297894640000001</v>
      </c>
      <c r="F5">
        <v>7.1154372999999896E-2</v>
      </c>
      <c r="G5">
        <v>0.10554603999999999</v>
      </c>
      <c r="H5">
        <v>0.116100254</v>
      </c>
      <c r="I5">
        <v>0.19477443699999999</v>
      </c>
      <c r="J5">
        <v>1.9261226809999901</v>
      </c>
      <c r="K5">
        <v>0.20856348599999999</v>
      </c>
      <c r="L5">
        <v>0.29711332899999998</v>
      </c>
      <c r="M5">
        <v>2.4299680999999899E-2</v>
      </c>
      <c r="N5">
        <v>0.61107526700000003</v>
      </c>
      <c r="O5">
        <v>15.41287142</v>
      </c>
    </row>
    <row r="6" spans="1:15" x14ac:dyDescent="0.2">
      <c r="B6">
        <v>1</v>
      </c>
      <c r="C6">
        <v>2.5593776999999901E-2</v>
      </c>
      <c r="D6">
        <v>10.100115025999999</v>
      </c>
      <c r="E6">
        <v>2.330984489</v>
      </c>
      <c r="F6">
        <v>7.1201850999999997E-2</v>
      </c>
      <c r="G6">
        <v>0.105698706</v>
      </c>
      <c r="H6">
        <v>0.116485776</v>
      </c>
      <c r="I6">
        <v>0.19517368800000001</v>
      </c>
      <c r="J6">
        <v>1.926507255</v>
      </c>
      <c r="K6">
        <v>0.208958596999999</v>
      </c>
      <c r="L6">
        <v>0.297431798999999</v>
      </c>
      <c r="M6">
        <v>2.4301185999999898E-2</v>
      </c>
      <c r="N6">
        <v>0.61642061800000003</v>
      </c>
      <c r="O6">
        <v>15.421131693</v>
      </c>
    </row>
    <row r="7" spans="1:15" x14ac:dyDescent="0.2">
      <c r="B7">
        <v>2</v>
      </c>
      <c r="C7">
        <v>2.5385094E-2</v>
      </c>
      <c r="D7">
        <v>10.099606200999901</v>
      </c>
      <c r="E7">
        <v>2.33054201499999</v>
      </c>
      <c r="F7">
        <v>7.0956227999999996E-2</v>
      </c>
      <c r="G7">
        <v>0.105521774999999</v>
      </c>
      <c r="H7">
        <v>0.116174641999999</v>
      </c>
      <c r="I7">
        <v>0.195038249</v>
      </c>
      <c r="J7">
        <v>1.9270152439999899</v>
      </c>
      <c r="K7">
        <v>0.20866674900000001</v>
      </c>
      <c r="L7">
        <v>0.29660057899999898</v>
      </c>
      <c r="M7">
        <v>2.4239949E-2</v>
      </c>
      <c r="N7">
        <v>0.627401451</v>
      </c>
      <c r="O7">
        <v>15.418322413</v>
      </c>
    </row>
    <row r="8" spans="1:15" x14ac:dyDescent="0.2">
      <c r="B8">
        <v>3</v>
      </c>
      <c r="C8">
        <v>2.6014560999999901E-2</v>
      </c>
      <c r="D8">
        <v>10.102088583</v>
      </c>
      <c r="E8">
        <v>2.3322300930000002</v>
      </c>
      <c r="F8">
        <v>7.1691403999999903E-2</v>
      </c>
      <c r="G8">
        <v>0.10630519099999999</v>
      </c>
      <c r="H8">
        <v>0.118632460999999</v>
      </c>
      <c r="I8">
        <v>0.19646021399999999</v>
      </c>
      <c r="J8">
        <v>1.93047126799999</v>
      </c>
      <c r="K8">
        <v>0.20953254999999901</v>
      </c>
      <c r="L8">
        <v>0.30036306699999898</v>
      </c>
      <c r="M8">
        <v>2.4989052000000001E-2</v>
      </c>
      <c r="N8">
        <v>0.606074903</v>
      </c>
      <c r="O8">
        <v>15.438222739</v>
      </c>
    </row>
    <row r="9" spans="1:15" x14ac:dyDescent="0.2">
      <c r="B9">
        <v>4</v>
      </c>
      <c r="C9">
        <v>2.5452000999999901E-2</v>
      </c>
      <c r="D9">
        <v>10.099061013999901</v>
      </c>
      <c r="E9">
        <v>2.33031469499999</v>
      </c>
      <c r="F9">
        <v>7.1123694999999806E-2</v>
      </c>
      <c r="G9">
        <v>0.105617700999999</v>
      </c>
      <c r="H9">
        <v>0.117144761</v>
      </c>
      <c r="I9">
        <v>0.19552296</v>
      </c>
      <c r="J9">
        <v>1.9273427089999999</v>
      </c>
      <c r="K9">
        <v>0.208768761999999</v>
      </c>
      <c r="L9">
        <v>0.29684469199999902</v>
      </c>
      <c r="M9">
        <v>2.4375148999999999E-2</v>
      </c>
      <c r="N9">
        <v>0.61160619699999996</v>
      </c>
      <c r="O9">
        <v>15.420349859</v>
      </c>
    </row>
    <row r="10" spans="1:15" x14ac:dyDescent="0.2">
      <c r="B10">
        <v>5</v>
      </c>
      <c r="C10">
        <v>2.56382449999999E-2</v>
      </c>
      <c r="D10">
        <v>10.1002633769999</v>
      </c>
      <c r="E10">
        <v>2.3293710559999998</v>
      </c>
      <c r="F10">
        <v>7.1283706000000002E-2</v>
      </c>
      <c r="G10">
        <v>0.105543874</v>
      </c>
      <c r="H10">
        <v>0.116905810999999</v>
      </c>
      <c r="I10">
        <v>0.19579743999999999</v>
      </c>
      <c r="J10">
        <v>1.9320005089999901</v>
      </c>
      <c r="K10">
        <v>0.20879339699999999</v>
      </c>
      <c r="L10">
        <v>0.29746052699999898</v>
      </c>
      <c r="M10">
        <v>2.4490805000000001E-2</v>
      </c>
      <c r="N10">
        <v>0.61472893100000003</v>
      </c>
      <c r="O10">
        <v>15.426239952</v>
      </c>
    </row>
    <row r="11" spans="1:15" x14ac:dyDescent="0.2">
      <c r="B11">
        <v>6</v>
      </c>
      <c r="C11">
        <v>2.53563159999999E-2</v>
      </c>
      <c r="D11">
        <v>10.097232775</v>
      </c>
      <c r="E11">
        <v>2.330120403</v>
      </c>
      <c r="F11">
        <v>7.0971029000000005E-2</v>
      </c>
      <c r="G11">
        <v>0.105499201</v>
      </c>
      <c r="H11">
        <v>0.116216875</v>
      </c>
      <c r="I11">
        <v>0.19511076799999999</v>
      </c>
      <c r="J11">
        <v>1.92850694699999</v>
      </c>
      <c r="K11">
        <v>0.208701631</v>
      </c>
      <c r="L11">
        <v>0.296478294999999</v>
      </c>
      <c r="M11">
        <v>2.4226696999999998E-2</v>
      </c>
      <c r="N11">
        <v>0.60892937800000002</v>
      </c>
      <c r="O11">
        <v>15.41752153</v>
      </c>
    </row>
    <row r="12" spans="1:15" x14ac:dyDescent="0.2">
      <c r="B12">
        <v>7</v>
      </c>
      <c r="C12">
        <v>2.5323974999999999E-2</v>
      </c>
      <c r="D12">
        <v>10.097166528000001</v>
      </c>
      <c r="E12">
        <v>2.329730944</v>
      </c>
      <c r="F12">
        <v>7.0901585999999697E-2</v>
      </c>
      <c r="G12">
        <v>0.10541447499999999</v>
      </c>
      <c r="H12">
        <v>0.115732273999999</v>
      </c>
      <c r="I12">
        <v>0.19492797099999901</v>
      </c>
      <c r="J12">
        <v>1.929590127</v>
      </c>
      <c r="K12">
        <v>0.208779138</v>
      </c>
      <c r="L12">
        <v>0.296267271</v>
      </c>
      <c r="M12">
        <v>2.4160647999999899E-2</v>
      </c>
      <c r="N12">
        <v>0.60954544300000002</v>
      </c>
      <c r="O12">
        <v>15.416608752</v>
      </c>
    </row>
    <row r="13" spans="1:15" x14ac:dyDescent="0.2">
      <c r="B13">
        <v>8</v>
      </c>
      <c r="C13">
        <v>2.5499583999999902E-2</v>
      </c>
      <c r="D13">
        <v>10.0966702959999</v>
      </c>
      <c r="E13">
        <v>2.3306569259999899</v>
      </c>
      <c r="F13">
        <v>7.1235964999999998E-2</v>
      </c>
      <c r="G13">
        <v>0.105333591</v>
      </c>
      <c r="H13">
        <v>0.11550263700000001</v>
      </c>
      <c r="I13">
        <v>0.19574702399999899</v>
      </c>
      <c r="J13">
        <v>1.933645957</v>
      </c>
      <c r="K13">
        <v>0.20902261999999999</v>
      </c>
      <c r="L13">
        <v>0.29678373799999902</v>
      </c>
      <c r="M13">
        <v>2.4227780000000001E-2</v>
      </c>
      <c r="N13">
        <v>0.61620193499999998</v>
      </c>
      <c r="O13">
        <v>15.423123092999999</v>
      </c>
    </row>
    <row r="14" spans="1:15" x14ac:dyDescent="0.2">
      <c r="B14">
        <v>9</v>
      </c>
      <c r="C14">
        <v>2.5569718999999901E-2</v>
      </c>
      <c r="D14">
        <v>10.1044150259999</v>
      </c>
      <c r="E14">
        <v>2.3313113250000002</v>
      </c>
      <c r="F14">
        <v>7.1269200999999796E-2</v>
      </c>
      <c r="G14">
        <v>0.10592581399999999</v>
      </c>
      <c r="H14">
        <v>0.116995985</v>
      </c>
      <c r="I14">
        <v>0.19550161399999999</v>
      </c>
      <c r="J14">
        <v>1.928080375</v>
      </c>
      <c r="K14">
        <v>0.20926946299999999</v>
      </c>
      <c r="L14">
        <v>0.29795526499999903</v>
      </c>
      <c r="M14">
        <v>2.44459509999999E-2</v>
      </c>
      <c r="N14">
        <v>0.61003646600000005</v>
      </c>
      <c r="O14">
        <v>15.429712941</v>
      </c>
    </row>
    <row r="15" spans="1:15" x14ac:dyDescent="0.2">
      <c r="B15" s="1" t="s">
        <v>21</v>
      </c>
      <c r="C15" s="1">
        <v>2.5521457199999899E-2</v>
      </c>
      <c r="D15" s="1">
        <v>10.0991415404999</v>
      </c>
      <c r="E15" s="1">
        <v>2.3305051410000002</v>
      </c>
      <c r="F15" s="1">
        <v>7.1178903799999901E-2</v>
      </c>
      <c r="G15" s="1">
        <v>0.10564063680000001</v>
      </c>
      <c r="H15" s="1">
        <v>0.1165891476</v>
      </c>
      <c r="I15" s="1">
        <v>0.1954054365</v>
      </c>
      <c r="J15" s="1">
        <v>1.9289283071999901</v>
      </c>
      <c r="K15" s="1">
        <v>0.2089056393</v>
      </c>
      <c r="L15" s="1">
        <v>0.29732985619999902</v>
      </c>
      <c r="M15" s="1">
        <v>2.4375689799999999E-2</v>
      </c>
      <c r="N15" s="1">
        <v>0.61320205890000001</v>
      </c>
      <c r="O15" s="1">
        <v>15.422410439199901</v>
      </c>
    </row>
    <row r="18" spans="2:21" x14ac:dyDescent="0.2">
      <c r="B18" s="6" t="s">
        <v>26</v>
      </c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</row>
    <row r="19" spans="2:21" x14ac:dyDescent="0.2">
      <c r="B19" s="1" t="s">
        <v>27</v>
      </c>
      <c r="C19" s="1" t="s">
        <v>28</v>
      </c>
      <c r="D19" s="1" t="s">
        <v>29</v>
      </c>
      <c r="E19" s="1" t="s">
        <v>46</v>
      </c>
      <c r="F19" s="1" t="s">
        <v>47</v>
      </c>
      <c r="G19" s="1" t="s">
        <v>48</v>
      </c>
      <c r="H19" s="1" t="s">
        <v>49</v>
      </c>
      <c r="I19" s="1" t="s">
        <v>50</v>
      </c>
      <c r="J19" s="1" t="s">
        <v>51</v>
      </c>
      <c r="K19" s="1" t="s">
        <v>52</v>
      </c>
      <c r="L19" s="1" t="s">
        <v>30</v>
      </c>
      <c r="M19" s="1" t="s">
        <v>53</v>
      </c>
      <c r="N19" s="1" t="s">
        <v>54</v>
      </c>
      <c r="O19" s="1" t="s">
        <v>55</v>
      </c>
      <c r="P19" s="1" t="s">
        <v>13</v>
      </c>
      <c r="Q19" s="1" t="s">
        <v>56</v>
      </c>
      <c r="R19" s="1" t="s">
        <v>57</v>
      </c>
      <c r="S19" s="1" t="s">
        <v>15</v>
      </c>
      <c r="T19" s="1" t="s">
        <v>16</v>
      </c>
      <c r="U19" s="1" t="s">
        <v>17</v>
      </c>
    </row>
    <row r="20" spans="2:21" x14ac:dyDescent="0.2">
      <c r="B20">
        <v>0</v>
      </c>
      <c r="C20">
        <v>7.1846088389999903</v>
      </c>
      <c r="D20">
        <v>22.968327054</v>
      </c>
      <c r="E20">
        <v>1.3658208E-2</v>
      </c>
      <c r="F20">
        <v>1.47979069999999E-2</v>
      </c>
      <c r="G20">
        <v>2.3332511999999899E-2</v>
      </c>
      <c r="H20">
        <v>1.63317079999999E-2</v>
      </c>
      <c r="I20">
        <v>2.6502664999999901E-2</v>
      </c>
      <c r="J20">
        <v>0.14607609799999999</v>
      </c>
      <c r="K20">
        <v>0.96770050399999896</v>
      </c>
      <c r="L20">
        <v>1.44445634699999</v>
      </c>
      <c r="M20">
        <v>2.0000416E-2</v>
      </c>
      <c r="N20">
        <v>3.3727324000000003E-2</v>
      </c>
      <c r="O20">
        <v>2.49904759999999E-2</v>
      </c>
      <c r="P20">
        <v>5.3637763999999997E-2</v>
      </c>
      <c r="Q20">
        <v>1.8676583999999899E-2</v>
      </c>
      <c r="R20">
        <v>1.75354449999999E-2</v>
      </c>
      <c r="S20">
        <v>1.16978839999999E-2</v>
      </c>
      <c r="T20">
        <v>44.700189727999998</v>
      </c>
      <c r="U20">
        <v>33.022369670000003</v>
      </c>
    </row>
    <row r="21" spans="2:21" x14ac:dyDescent="0.2">
      <c r="B21">
        <v>1</v>
      </c>
      <c r="C21">
        <v>7.2504183859999998</v>
      </c>
      <c r="D21">
        <v>20.674760056999901</v>
      </c>
      <c r="E21">
        <v>1.0745784E-2</v>
      </c>
      <c r="F21">
        <v>1.1279472999999899E-2</v>
      </c>
      <c r="G21">
        <v>2.0105579999999901E-2</v>
      </c>
      <c r="H21">
        <v>1.33515329999999E-2</v>
      </c>
      <c r="I21">
        <v>2.0045930999999899E-2</v>
      </c>
      <c r="J21">
        <v>0.12396632</v>
      </c>
      <c r="K21">
        <v>0.98069630899999904</v>
      </c>
      <c r="L21">
        <v>1.4559042849999999</v>
      </c>
      <c r="M21">
        <v>1.7120713999999999E-2</v>
      </c>
      <c r="N21">
        <v>2.94945379999999E-2</v>
      </c>
      <c r="O21">
        <v>2.1910464000000001E-2</v>
      </c>
      <c r="P21">
        <v>4.4338133999999897E-2</v>
      </c>
      <c r="Q21">
        <v>1.5144212000000001E-2</v>
      </c>
      <c r="R21">
        <v>1.44695409999999E-2</v>
      </c>
      <c r="S21">
        <v>9.0278860000000006E-3</v>
      </c>
      <c r="T21">
        <v>44.372622671999999</v>
      </c>
      <c r="U21">
        <v>30.741129004000001</v>
      </c>
    </row>
    <row r="22" spans="2:21" x14ac:dyDescent="0.2">
      <c r="B22">
        <v>2</v>
      </c>
      <c r="C22">
        <v>7.0756666310000096</v>
      </c>
      <c r="D22">
        <v>21.210381155</v>
      </c>
      <c r="E22">
        <v>1.05551379999999E-2</v>
      </c>
      <c r="F22">
        <v>1.1077547999999901E-2</v>
      </c>
      <c r="G22">
        <v>2.0460232999999901E-2</v>
      </c>
      <c r="H22">
        <v>1.3007589999999901E-2</v>
      </c>
      <c r="I22">
        <v>1.92502489999999E-2</v>
      </c>
      <c r="J22">
        <v>0.121968620999999</v>
      </c>
      <c r="K22">
        <v>0.98416287499999999</v>
      </c>
      <c r="L22">
        <v>1.4825264309999999</v>
      </c>
      <c r="M22">
        <v>1.66769549999999E-2</v>
      </c>
      <c r="N22">
        <v>3.04185469999999E-2</v>
      </c>
      <c r="O22">
        <v>2.1391639E-2</v>
      </c>
      <c r="P22">
        <v>4.3333069000000002E-2</v>
      </c>
      <c r="Q22">
        <v>1.53670659999999E-2</v>
      </c>
      <c r="R22">
        <v>1.42551209999999E-2</v>
      </c>
      <c r="S22">
        <v>8.6408779999999994E-3</v>
      </c>
      <c r="T22">
        <v>44.485469029000001</v>
      </c>
      <c r="U22">
        <v>31.126606148</v>
      </c>
    </row>
    <row r="23" spans="2:21" x14ac:dyDescent="0.2">
      <c r="B23">
        <v>3</v>
      </c>
      <c r="C23">
        <v>7.5884141100000102</v>
      </c>
      <c r="D23">
        <v>20.952814533000002</v>
      </c>
      <c r="E23">
        <v>1.0623741000000001E-2</v>
      </c>
      <c r="F23">
        <v>1.10656619999999E-2</v>
      </c>
      <c r="G23">
        <v>2.0923034E-2</v>
      </c>
      <c r="H23">
        <v>1.3123301E-2</v>
      </c>
      <c r="I23">
        <v>1.94829869999999E-2</v>
      </c>
      <c r="J23">
        <v>0.122268514999999</v>
      </c>
      <c r="K23">
        <v>1.0785246179999901</v>
      </c>
      <c r="L23">
        <v>1.5016997999999899</v>
      </c>
      <c r="M23">
        <v>1.6595830999999901E-2</v>
      </c>
      <c r="N23">
        <v>3.0412688999999899E-2</v>
      </c>
      <c r="O23">
        <v>2.1344474999999901E-2</v>
      </c>
      <c r="P23">
        <v>4.4542283999999897E-2</v>
      </c>
      <c r="Q23">
        <v>1.5459848E-2</v>
      </c>
      <c r="R23">
        <v>1.4492405999999999E-2</v>
      </c>
      <c r="S23">
        <v>8.8919429999999907E-3</v>
      </c>
      <c r="T23">
        <v>44.919536483999998</v>
      </c>
      <c r="U23">
        <v>31.498343984000002</v>
      </c>
    </row>
    <row r="24" spans="2:21" x14ac:dyDescent="0.2">
      <c r="B24">
        <v>4</v>
      </c>
      <c r="C24">
        <v>7.5763775259999999</v>
      </c>
      <c r="D24">
        <v>20.573066979999901</v>
      </c>
      <c r="E24">
        <v>9.6985800000000105E-3</v>
      </c>
      <c r="F24">
        <v>1.05203139999999E-2</v>
      </c>
      <c r="G24">
        <v>1.99988859999999E-2</v>
      </c>
      <c r="H24">
        <v>1.20842839999999E-2</v>
      </c>
      <c r="I24">
        <v>1.7382418E-2</v>
      </c>
      <c r="J24">
        <v>0.114189544999999</v>
      </c>
      <c r="K24">
        <v>1.10670999599999</v>
      </c>
      <c r="L24">
        <v>1.5405908770000001</v>
      </c>
      <c r="M24">
        <v>1.5144846999999901E-2</v>
      </c>
      <c r="N24">
        <v>2.99720879999999E-2</v>
      </c>
      <c r="O24">
        <v>1.9899824E-2</v>
      </c>
      <c r="P24">
        <v>4.0788927999999898E-2</v>
      </c>
      <c r="Q24">
        <v>1.4748944E-2</v>
      </c>
      <c r="R24">
        <v>1.3283154E-2</v>
      </c>
      <c r="S24">
        <v>8.0259379999999998E-3</v>
      </c>
      <c r="T24">
        <v>44.427370293000003</v>
      </c>
      <c r="U24">
        <v>31.147951966000001</v>
      </c>
    </row>
    <row r="25" spans="2:21" x14ac:dyDescent="0.2">
      <c r="B25">
        <v>5</v>
      </c>
      <c r="C25">
        <v>7.4380483760000002</v>
      </c>
      <c r="D25">
        <v>21.341291623</v>
      </c>
      <c r="E25">
        <v>1.2543802999999999E-2</v>
      </c>
      <c r="F25">
        <v>1.31401359999999E-2</v>
      </c>
      <c r="G25">
        <v>2.1730309E-2</v>
      </c>
      <c r="H25">
        <v>1.4853921000000001E-2</v>
      </c>
      <c r="I25">
        <v>2.3431385999999998E-2</v>
      </c>
      <c r="J25">
        <v>0.13604090399999899</v>
      </c>
      <c r="K25">
        <v>1.04457373599999</v>
      </c>
      <c r="L25">
        <v>1.4698679619999999</v>
      </c>
      <c r="M25">
        <v>1.8776869000000002E-2</v>
      </c>
      <c r="N25">
        <v>3.1998261999999902E-2</v>
      </c>
      <c r="O25">
        <v>2.3821845000000001E-2</v>
      </c>
      <c r="P25">
        <v>5.0729153999999999E-2</v>
      </c>
      <c r="Q25">
        <v>1.7433281999999901E-2</v>
      </c>
      <c r="R25">
        <v>1.6182730999999999E-2</v>
      </c>
      <c r="S25">
        <v>1.0603957000000001E-2</v>
      </c>
      <c r="T25">
        <v>44.657496166000001</v>
      </c>
      <c r="U25">
        <v>31.717726393</v>
      </c>
    </row>
    <row r="26" spans="2:21" x14ac:dyDescent="0.2">
      <c r="B26">
        <v>6</v>
      </c>
      <c r="C26">
        <v>7.4971758980000001</v>
      </c>
      <c r="D26">
        <v>21.523719694999901</v>
      </c>
      <c r="E26">
        <v>1.0296655999999901E-2</v>
      </c>
      <c r="F26">
        <v>1.1440011999999999E-2</v>
      </c>
      <c r="G26">
        <v>2.0334681999999899E-2</v>
      </c>
      <c r="H26">
        <v>1.2890972000000001E-2</v>
      </c>
      <c r="I26">
        <v>1.8652522000000001E-2</v>
      </c>
      <c r="J26">
        <v>0.123924125999999</v>
      </c>
      <c r="K26">
        <v>1.09690533</v>
      </c>
      <c r="L26">
        <v>1.5163021510000001</v>
      </c>
      <c r="M26">
        <v>1.5945990999999899E-2</v>
      </c>
      <c r="N26">
        <v>3.02766719999999E-2</v>
      </c>
      <c r="O26">
        <v>2.0790896999999999E-2</v>
      </c>
      <c r="P26">
        <v>4.2388606999999898E-2</v>
      </c>
      <c r="Q26">
        <v>1.5100852E-2</v>
      </c>
      <c r="R26">
        <v>1.39293019999999E-2</v>
      </c>
      <c r="S26">
        <v>8.4932279999999898E-3</v>
      </c>
      <c r="T26">
        <v>44.544102008999999</v>
      </c>
      <c r="U26">
        <v>32.005566565000002</v>
      </c>
    </row>
    <row r="27" spans="2:21" x14ac:dyDescent="0.2">
      <c r="B27">
        <v>7</v>
      </c>
      <c r="C27">
        <v>7.3237509479999998</v>
      </c>
      <c r="D27">
        <v>21.274888356999998</v>
      </c>
      <c r="E27">
        <v>1.0157500999999999E-2</v>
      </c>
      <c r="F27">
        <v>1.0895833000000001E-2</v>
      </c>
      <c r="G27">
        <v>1.9959342000000001E-2</v>
      </c>
      <c r="H27">
        <v>1.255413E-2</v>
      </c>
      <c r="I27">
        <v>1.8468452E-2</v>
      </c>
      <c r="J27">
        <v>0.118518705</v>
      </c>
      <c r="K27">
        <v>0.99681556800000004</v>
      </c>
      <c r="L27">
        <v>1.4437548929999999</v>
      </c>
      <c r="M27">
        <v>1.6051514999999999E-2</v>
      </c>
      <c r="N27">
        <v>2.9992243999999901E-2</v>
      </c>
      <c r="O27">
        <v>2.07419529999999E-2</v>
      </c>
      <c r="P27">
        <v>4.2851995999999899E-2</v>
      </c>
      <c r="Q27">
        <v>1.47877329999999E-2</v>
      </c>
      <c r="R27">
        <v>1.384761E-2</v>
      </c>
      <c r="S27">
        <v>8.2885560000000007E-3</v>
      </c>
      <c r="T27">
        <v>44.765935663999997</v>
      </c>
      <c r="U27">
        <v>31.402882573999999</v>
      </c>
    </row>
    <row r="28" spans="2:21" x14ac:dyDescent="0.2">
      <c r="B28">
        <v>8</v>
      </c>
      <c r="C28">
        <v>7.2010290220000002</v>
      </c>
      <c r="D28">
        <v>21.266226643</v>
      </c>
      <c r="E28">
        <v>1.0226548E-2</v>
      </c>
      <c r="F28">
        <v>1.0839262000000001E-2</v>
      </c>
      <c r="G28">
        <v>1.9803628999999899E-2</v>
      </c>
      <c r="H28">
        <v>1.2654478E-2</v>
      </c>
      <c r="I28">
        <v>1.8664719E-2</v>
      </c>
      <c r="J28">
        <v>0.11831808099999901</v>
      </c>
      <c r="K28">
        <v>0.99991025500000097</v>
      </c>
      <c r="L28">
        <v>1.4694996010000001</v>
      </c>
      <c r="M28">
        <v>1.55755989999999E-2</v>
      </c>
      <c r="N28">
        <v>2.9864908999999901E-2</v>
      </c>
      <c r="O28">
        <v>2.0289204000000002E-2</v>
      </c>
      <c r="P28">
        <v>4.2582162999999999E-2</v>
      </c>
      <c r="Q28">
        <v>1.5082231E-2</v>
      </c>
      <c r="R28">
        <v>1.3791372999999999E-2</v>
      </c>
      <c r="S28">
        <v>8.4904479999999994E-3</v>
      </c>
      <c r="T28">
        <v>44.986198622000003</v>
      </c>
      <c r="U28">
        <v>31.299673079000002</v>
      </c>
    </row>
    <row r="29" spans="2:21" x14ac:dyDescent="0.2">
      <c r="B29">
        <v>9</v>
      </c>
      <c r="C29">
        <v>7.3925431109999904</v>
      </c>
      <c r="D29">
        <v>20.190696853999899</v>
      </c>
      <c r="E29">
        <v>1.0378413E-2</v>
      </c>
      <c r="F29">
        <v>1.0849961999999999E-2</v>
      </c>
      <c r="G29">
        <v>1.9862037999999999E-2</v>
      </c>
      <c r="H29">
        <v>1.2735293E-2</v>
      </c>
      <c r="I29">
        <v>1.9063568999999898E-2</v>
      </c>
      <c r="J29">
        <v>0.11886272000000001</v>
      </c>
      <c r="K29">
        <v>1.02681086899999</v>
      </c>
      <c r="L29">
        <v>1.457402144</v>
      </c>
      <c r="M29">
        <v>1.5856139999999901E-2</v>
      </c>
      <c r="N29">
        <v>2.9460502999999898E-2</v>
      </c>
      <c r="O29">
        <v>2.0722919999999902E-2</v>
      </c>
      <c r="P29">
        <v>4.3330378999999898E-2</v>
      </c>
      <c r="Q29">
        <v>1.4901899E-2</v>
      </c>
      <c r="R29">
        <v>1.41567039999999E-2</v>
      </c>
      <c r="S29">
        <v>8.5715259999999908E-3</v>
      </c>
      <c r="T29">
        <v>44.476721304999998</v>
      </c>
      <c r="U29">
        <v>30.433315807</v>
      </c>
    </row>
    <row r="30" spans="2:21" x14ac:dyDescent="0.2">
      <c r="B30" s="1" t="s">
        <v>21</v>
      </c>
      <c r="C30" s="1">
        <v>7.3528032847000002</v>
      </c>
      <c r="D30" s="1">
        <v>21.197617295099999</v>
      </c>
      <c r="E30" s="1">
        <v>1.08884372E-2</v>
      </c>
      <c r="F30" s="1">
        <v>1.15906108999999E-2</v>
      </c>
      <c r="G30" s="1">
        <v>2.06510244999999E-2</v>
      </c>
      <c r="H30" s="1">
        <v>1.33587209999999E-2</v>
      </c>
      <c r="I30" s="1">
        <v>2.00944897999999E-2</v>
      </c>
      <c r="J30" s="1">
        <v>0.1244133635</v>
      </c>
      <c r="K30" s="1">
        <v>1.0282810059999901</v>
      </c>
      <c r="L30" s="1">
        <v>1.4782004491</v>
      </c>
      <c r="M30" s="1">
        <v>1.67744877E-2</v>
      </c>
      <c r="N30" s="1">
        <v>3.0561777599999899E-2</v>
      </c>
      <c r="O30" s="1">
        <v>2.1590369700000001E-2</v>
      </c>
      <c r="P30" s="1">
        <v>4.4852247800000002E-2</v>
      </c>
      <c r="Q30" s="1">
        <v>1.5670265100000001E-2</v>
      </c>
      <c r="R30" s="1">
        <v>1.45943386999999E-2</v>
      </c>
      <c r="S30" s="1">
        <v>9.0732243999999997E-3</v>
      </c>
      <c r="T30" s="1">
        <v>44.633564197200002</v>
      </c>
      <c r="U30" s="1">
        <v>31.439556519</v>
      </c>
    </row>
  </sheetData>
  <mergeCells count="2">
    <mergeCell ref="C3:O3"/>
    <mergeCell ref="B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11A7-FF5C-9946-82AC-26D645B98B8C}">
  <dimension ref="A1:U30"/>
  <sheetViews>
    <sheetView workbookViewId="0">
      <selection activeCell="C30" sqref="C30:U30"/>
    </sheetView>
  </sheetViews>
  <sheetFormatPr baseColWidth="10" defaultRowHeight="16" x14ac:dyDescent="0.2"/>
  <cols>
    <col min="3" max="3" width="16.6640625" bestFit="1" customWidth="1"/>
    <col min="4" max="4" width="21.83203125" bestFit="1" customWidth="1"/>
    <col min="5" max="5" width="15.33203125" bestFit="1" customWidth="1"/>
    <col min="6" max="6" width="18.5" bestFit="1" customWidth="1"/>
    <col min="7" max="7" width="19.5" bestFit="1" customWidth="1"/>
    <col min="8" max="8" width="20.33203125" bestFit="1" customWidth="1"/>
    <col min="9" max="9" width="20.1640625" bestFit="1" customWidth="1"/>
    <col min="10" max="10" width="22.5" bestFit="1" customWidth="1"/>
    <col min="11" max="11" width="12.33203125" bestFit="1" customWidth="1"/>
    <col min="12" max="12" width="15.5" bestFit="1" customWidth="1"/>
    <col min="13" max="13" width="17" bestFit="1" customWidth="1"/>
    <col min="14" max="14" width="15.83203125" bestFit="1" customWidth="1"/>
    <col min="15" max="15" width="21" bestFit="1" customWidth="1"/>
    <col min="16" max="16" width="12.1640625" bestFit="1" customWidth="1"/>
    <col min="17" max="17" width="16.33203125" bestFit="1" customWidth="1"/>
    <col min="18" max="21" width="12.1640625" bestFit="1" customWidth="1"/>
  </cols>
  <sheetData>
    <row r="1" spans="1:15" x14ac:dyDescent="0.2">
      <c r="A1" s="1" t="s">
        <v>0</v>
      </c>
      <c r="B1" s="1" t="s">
        <v>1</v>
      </c>
    </row>
    <row r="2" spans="1:15" x14ac:dyDescent="0.2">
      <c r="A2" t="s">
        <v>4</v>
      </c>
      <c r="B2" t="s">
        <v>3</v>
      </c>
    </row>
    <row r="3" spans="1:15" x14ac:dyDescent="0.2">
      <c r="C3" s="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">
      <c r="B4" s="1" t="s">
        <v>20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2">
      <c r="B5">
        <v>0</v>
      </c>
      <c r="C5">
        <v>2.56602529999999E-2</v>
      </c>
      <c r="D5">
        <v>10.092411062999901</v>
      </c>
      <c r="E5">
        <v>2.3350925139999998</v>
      </c>
      <c r="F5">
        <v>6.9307840999999995E-2</v>
      </c>
      <c r="G5">
        <v>0.58615123199999897</v>
      </c>
      <c r="H5">
        <v>0.118665115</v>
      </c>
      <c r="I5">
        <v>0.67143337400000003</v>
      </c>
      <c r="J5">
        <v>5.0247875339999899</v>
      </c>
      <c r="K5">
        <v>9.9494871550000106</v>
      </c>
      <c r="L5">
        <v>0.37495494899999998</v>
      </c>
      <c r="M5">
        <v>2.3633946999999898E-2</v>
      </c>
      <c r="N5">
        <v>0.61694170800000003</v>
      </c>
      <c r="O5">
        <v>29.289828121999999</v>
      </c>
    </row>
    <row r="6" spans="1:15" x14ac:dyDescent="0.2">
      <c r="B6">
        <v>1</v>
      </c>
      <c r="C6">
        <v>2.6009707999999899E-2</v>
      </c>
      <c r="D6">
        <v>10.092801394</v>
      </c>
      <c r="E6">
        <v>2.3346325109999899</v>
      </c>
      <c r="F6">
        <v>6.9917533000000101E-2</v>
      </c>
      <c r="G6">
        <v>0.58645207299999802</v>
      </c>
      <c r="H6">
        <v>0.121546468</v>
      </c>
      <c r="I6">
        <v>0.67245170300000001</v>
      </c>
      <c r="J6">
        <v>5.0252363259999902</v>
      </c>
      <c r="K6">
        <v>9.9493611210000008</v>
      </c>
      <c r="L6">
        <v>0.37690058399999898</v>
      </c>
      <c r="M6">
        <v>2.4019788E-2</v>
      </c>
      <c r="N6">
        <v>0.59299689600000005</v>
      </c>
      <c r="O6">
        <v>29.297806472000001</v>
      </c>
    </row>
    <row r="7" spans="1:15" x14ac:dyDescent="0.2">
      <c r="B7">
        <v>2</v>
      </c>
      <c r="C7">
        <v>2.5633884999999999E-2</v>
      </c>
      <c r="D7">
        <v>10.093617110999901</v>
      </c>
      <c r="E7">
        <v>2.335474472</v>
      </c>
      <c r="F7">
        <v>6.9390459000000002E-2</v>
      </c>
      <c r="G7">
        <v>0.58617621600000103</v>
      </c>
      <c r="H7">
        <v>0.11867947199999999</v>
      </c>
      <c r="I7">
        <v>0.67159537300000005</v>
      </c>
      <c r="J7">
        <v>5.0303447039999796</v>
      </c>
      <c r="K7">
        <v>9.9532243119999695</v>
      </c>
      <c r="L7">
        <v>0.37461931999999898</v>
      </c>
      <c r="M7">
        <v>2.3737149999999901E-2</v>
      </c>
      <c r="N7">
        <v>0.601366505</v>
      </c>
      <c r="O7">
        <v>29.300475652999999</v>
      </c>
    </row>
    <row r="8" spans="1:15" x14ac:dyDescent="0.2">
      <c r="B8">
        <v>3</v>
      </c>
      <c r="C8">
        <v>2.5570568999999901E-2</v>
      </c>
      <c r="D8">
        <v>10.0915633889999</v>
      </c>
      <c r="E8">
        <v>2.3350707679999898</v>
      </c>
      <c r="F8">
        <v>6.9348543999999998E-2</v>
      </c>
      <c r="G8">
        <v>0.58588457599999999</v>
      </c>
      <c r="H8">
        <v>0.11797352899999899</v>
      </c>
      <c r="I8">
        <v>0.67163842600000101</v>
      </c>
      <c r="J8">
        <v>5.0294728649999998</v>
      </c>
      <c r="K8">
        <v>9.9503148849999992</v>
      </c>
      <c r="L8">
        <v>0.374501948999999</v>
      </c>
      <c r="M8">
        <v>2.3681457999999898E-2</v>
      </c>
      <c r="N8">
        <v>0.59512648800000001</v>
      </c>
      <c r="O8">
        <v>29.293122816</v>
      </c>
    </row>
    <row r="9" spans="1:15" x14ac:dyDescent="0.2">
      <c r="B9">
        <v>4</v>
      </c>
      <c r="C9">
        <v>2.5600774999999999E-2</v>
      </c>
      <c r="D9">
        <v>10.0941521719999</v>
      </c>
      <c r="E9">
        <v>2.33452129699999</v>
      </c>
      <c r="F9">
        <v>6.9463336000000001E-2</v>
      </c>
      <c r="G9">
        <v>0.58592276199999904</v>
      </c>
      <c r="H9">
        <v>0.118419817</v>
      </c>
      <c r="I9">
        <v>0.67170904399999898</v>
      </c>
      <c r="J9">
        <v>5.0216696289999998</v>
      </c>
      <c r="K9">
        <v>9.9507542880000006</v>
      </c>
      <c r="L9">
        <v>0.37420821799999998</v>
      </c>
      <c r="M9">
        <v>2.3578144999999901E-2</v>
      </c>
      <c r="N9">
        <v>0.60293921699999997</v>
      </c>
      <c r="O9">
        <v>29.288165759000002</v>
      </c>
    </row>
    <row r="10" spans="1:15" x14ac:dyDescent="0.2">
      <c r="B10">
        <v>5</v>
      </c>
      <c r="C10">
        <v>2.5533976999999899E-2</v>
      </c>
      <c r="D10">
        <v>10.093131085</v>
      </c>
      <c r="E10">
        <v>2.3343073539999901</v>
      </c>
      <c r="F10">
        <v>6.9289595999999995E-2</v>
      </c>
      <c r="G10">
        <v>0.58555464099999999</v>
      </c>
      <c r="H10">
        <v>0.11845826999999901</v>
      </c>
      <c r="I10">
        <v>0.67179013700000001</v>
      </c>
      <c r="J10">
        <v>5.0332886299999799</v>
      </c>
      <c r="K10">
        <v>9.9511270870000104</v>
      </c>
      <c r="L10">
        <v>0.37405508399999898</v>
      </c>
      <c r="M10">
        <v>2.363258E-2</v>
      </c>
      <c r="N10">
        <v>0.61195766600000001</v>
      </c>
      <c r="O10">
        <v>29.298625094999998</v>
      </c>
    </row>
    <row r="11" spans="1:15" x14ac:dyDescent="0.2">
      <c r="B11">
        <v>6</v>
      </c>
      <c r="C11">
        <v>2.5679405999999998E-2</v>
      </c>
      <c r="D11">
        <v>10.094681947</v>
      </c>
      <c r="E11">
        <v>2.3351234269999899</v>
      </c>
      <c r="F11">
        <v>6.9546087999999895E-2</v>
      </c>
      <c r="G11">
        <v>0.58555205499999996</v>
      </c>
      <c r="H11">
        <v>0.119074282</v>
      </c>
      <c r="I11">
        <v>0.67183946899999802</v>
      </c>
      <c r="J11">
        <v>5.02385722799999</v>
      </c>
      <c r="K11">
        <v>9.9518861309999807</v>
      </c>
      <c r="L11">
        <v>0.37504373199999902</v>
      </c>
      <c r="M11">
        <v>2.3730856000000002E-2</v>
      </c>
      <c r="N11">
        <v>0.58939027099999997</v>
      </c>
      <c r="O11">
        <v>29.294494213</v>
      </c>
    </row>
    <row r="12" spans="1:15" x14ac:dyDescent="0.2">
      <c r="B12">
        <v>7</v>
      </c>
      <c r="C12">
        <v>2.5762748999999901E-2</v>
      </c>
      <c r="D12">
        <v>10.0950343149999</v>
      </c>
      <c r="E12">
        <v>2.3347884059999999</v>
      </c>
      <c r="F12">
        <v>6.9538956999999901E-2</v>
      </c>
      <c r="G12">
        <v>0.58609643300000003</v>
      </c>
      <c r="H12">
        <v>0.11914034999999901</v>
      </c>
      <c r="I12">
        <v>0.672118726000002</v>
      </c>
      <c r="J12">
        <v>5.0355684829999898</v>
      </c>
      <c r="K12">
        <v>9.9512275350000099</v>
      </c>
      <c r="L12">
        <v>0.37515184299999899</v>
      </c>
      <c r="M12">
        <v>2.3844536E-2</v>
      </c>
      <c r="N12">
        <v>0.61086826699999996</v>
      </c>
      <c r="O12">
        <v>29.306426054999999</v>
      </c>
    </row>
    <row r="13" spans="1:15" x14ac:dyDescent="0.2">
      <c r="B13">
        <v>8</v>
      </c>
      <c r="C13">
        <v>2.5682871999999898E-2</v>
      </c>
      <c r="D13">
        <v>10.0932550689999</v>
      </c>
      <c r="E13">
        <v>2.3355567700000002</v>
      </c>
      <c r="F13">
        <v>6.9579199000000203E-2</v>
      </c>
      <c r="G13">
        <v>0.58595544200000105</v>
      </c>
      <c r="H13">
        <v>0.11927326299999901</v>
      </c>
      <c r="I13">
        <v>0.67227896499999895</v>
      </c>
      <c r="J13">
        <v>5.0231090989999903</v>
      </c>
      <c r="K13">
        <v>9.9506232679999993</v>
      </c>
      <c r="L13">
        <v>0.37516839699999899</v>
      </c>
      <c r="M13">
        <v>2.3715185999999899E-2</v>
      </c>
      <c r="N13">
        <v>0.58962568299999996</v>
      </c>
      <c r="O13">
        <v>29.292425865999999</v>
      </c>
    </row>
    <row r="14" spans="1:15" x14ac:dyDescent="0.2">
      <c r="B14">
        <v>9</v>
      </c>
      <c r="C14">
        <v>2.5864326999999899E-2</v>
      </c>
      <c r="D14">
        <v>10.100539513999999</v>
      </c>
      <c r="E14">
        <v>2.3363436459999898</v>
      </c>
      <c r="F14">
        <v>6.9665846000000003E-2</v>
      </c>
      <c r="G14">
        <v>0.58644216900000001</v>
      </c>
      <c r="H14">
        <v>0.119712631</v>
      </c>
      <c r="I14">
        <v>0.67236185500000001</v>
      </c>
      <c r="J14">
        <v>5.0264629949999904</v>
      </c>
      <c r="K14">
        <v>9.9527652489999898</v>
      </c>
      <c r="L14">
        <v>0.37620061999999999</v>
      </c>
      <c r="M14">
        <v>2.3802161999999901E-2</v>
      </c>
      <c r="N14">
        <v>0.59647256599999998</v>
      </c>
      <c r="O14">
        <v>29.308607068000001</v>
      </c>
    </row>
    <row r="15" spans="1:15" x14ac:dyDescent="0.2">
      <c r="B15" s="1" t="s">
        <v>21</v>
      </c>
      <c r="C15" s="1">
        <v>2.5699852099999899E-2</v>
      </c>
      <c r="D15" s="1">
        <v>10.0941187058999</v>
      </c>
      <c r="E15" s="1">
        <v>2.3350911164999899</v>
      </c>
      <c r="F15" s="1">
        <v>6.9504739900000001E-2</v>
      </c>
      <c r="G15" s="1">
        <v>0.58601875989999996</v>
      </c>
      <c r="H15" s="1">
        <v>0.11909431970000001</v>
      </c>
      <c r="I15" s="1">
        <v>0.6719217072</v>
      </c>
      <c r="J15" s="1">
        <v>5.0273797492999899</v>
      </c>
      <c r="K15" s="1">
        <v>9.9510771030999994</v>
      </c>
      <c r="L15" s="1">
        <v>0.37508046959999902</v>
      </c>
      <c r="M15" s="1">
        <v>2.3737580799999901E-2</v>
      </c>
      <c r="N15" s="1">
        <v>0.60076852670000003</v>
      </c>
      <c r="O15" s="1">
        <v>29.296997711900001</v>
      </c>
    </row>
    <row r="18" spans="2:21" x14ac:dyDescent="0.2">
      <c r="B18" s="6" t="s">
        <v>26</v>
      </c>
      <c r="C18" s="6"/>
      <c r="D18" s="6"/>
      <c r="E18" s="6"/>
      <c r="F18" s="6"/>
      <c r="G18" s="6"/>
    </row>
    <row r="19" spans="2:21" x14ac:dyDescent="0.2">
      <c r="B19" s="1" t="s">
        <v>27</v>
      </c>
      <c r="C19" s="1" t="s">
        <v>28</v>
      </c>
      <c r="D19" s="1" t="s">
        <v>29</v>
      </c>
      <c r="E19" s="1" t="s">
        <v>46</v>
      </c>
      <c r="F19" s="1" t="s">
        <v>47</v>
      </c>
      <c r="G19" s="1" t="s">
        <v>48</v>
      </c>
      <c r="H19" s="1" t="s">
        <v>49</v>
      </c>
      <c r="I19" s="1" t="s">
        <v>50</v>
      </c>
      <c r="J19" s="1" t="s">
        <v>51</v>
      </c>
      <c r="K19" s="1" t="s">
        <v>52</v>
      </c>
      <c r="L19" s="1" t="s">
        <v>30</v>
      </c>
      <c r="M19" s="1" t="s">
        <v>53</v>
      </c>
      <c r="N19" s="1" t="s">
        <v>54</v>
      </c>
      <c r="O19" s="1" t="s">
        <v>55</v>
      </c>
      <c r="P19" s="1" t="s">
        <v>13</v>
      </c>
      <c r="Q19" s="1" t="s">
        <v>56</v>
      </c>
      <c r="R19" s="1" t="s">
        <v>57</v>
      </c>
      <c r="S19" s="1" t="s">
        <v>15</v>
      </c>
      <c r="T19" s="1" t="s">
        <v>16</v>
      </c>
      <c r="U19" s="1" t="s">
        <v>17</v>
      </c>
    </row>
    <row r="20" spans="2:21" x14ac:dyDescent="0.2">
      <c r="B20">
        <v>0</v>
      </c>
      <c r="C20">
        <v>7.3429957330000004</v>
      </c>
      <c r="D20">
        <v>23.5528792889999</v>
      </c>
      <c r="E20">
        <v>2.2620458999999898E-2</v>
      </c>
      <c r="F20">
        <v>1.7666388000000002E-2</v>
      </c>
      <c r="G20">
        <v>0.14779814899999999</v>
      </c>
      <c r="H20">
        <v>5.0323279999999901E-2</v>
      </c>
      <c r="I20">
        <v>2.2018187000000002E-2</v>
      </c>
      <c r="J20">
        <v>0.14023852099999901</v>
      </c>
      <c r="K20">
        <v>0.99313356799999997</v>
      </c>
      <c r="L20">
        <v>1.4879229940000001</v>
      </c>
      <c r="M20">
        <v>5.7572734999999903E-2</v>
      </c>
      <c r="N20">
        <v>8.9242616999999594E-2</v>
      </c>
      <c r="O20">
        <v>5.1359735999999899E-2</v>
      </c>
      <c r="P20">
        <v>5.8862575E-2</v>
      </c>
      <c r="Q20">
        <v>4.8653609999999903E-2</v>
      </c>
      <c r="R20">
        <v>2.6870714E-2</v>
      </c>
      <c r="S20">
        <v>9.8894080000000006E-3</v>
      </c>
      <c r="T20">
        <v>44.637736338000003</v>
      </c>
      <c r="U20">
        <v>34.151176130000003</v>
      </c>
    </row>
    <row r="21" spans="2:21" x14ac:dyDescent="0.2">
      <c r="B21">
        <v>1</v>
      </c>
      <c r="C21">
        <v>7.6465857979999896</v>
      </c>
      <c r="D21">
        <v>24.111935548999998</v>
      </c>
      <c r="E21">
        <v>2.4796648000000001E-2</v>
      </c>
      <c r="F21">
        <v>2.0543705999999998E-2</v>
      </c>
      <c r="G21">
        <v>0.151560048</v>
      </c>
      <c r="H21">
        <v>5.3783333999999898E-2</v>
      </c>
      <c r="I21">
        <v>2.6243694000000001E-2</v>
      </c>
      <c r="J21">
        <v>0.15705011299999999</v>
      </c>
      <c r="K21">
        <v>1.08782644</v>
      </c>
      <c r="L21">
        <v>1.5883181989999899</v>
      </c>
      <c r="M21">
        <v>6.2205495999999902E-2</v>
      </c>
      <c r="N21">
        <v>9.3053926000000203E-2</v>
      </c>
      <c r="O21">
        <v>5.4576554999999902E-2</v>
      </c>
      <c r="P21">
        <v>6.6792717000000099E-2</v>
      </c>
      <c r="Q21">
        <v>5.7100578999999999E-2</v>
      </c>
      <c r="R21">
        <v>2.9248020999999898E-2</v>
      </c>
      <c r="S21">
        <v>1.17948339999999E-2</v>
      </c>
      <c r="T21">
        <v>44.585326533</v>
      </c>
      <c r="U21">
        <v>35.280097681999997</v>
      </c>
    </row>
    <row r="22" spans="2:21" x14ac:dyDescent="0.2">
      <c r="B22">
        <v>2</v>
      </c>
      <c r="C22">
        <v>6.9999426260000002</v>
      </c>
      <c r="D22">
        <v>23.207032851999902</v>
      </c>
      <c r="E22">
        <v>2.09554949999999E-2</v>
      </c>
      <c r="F22">
        <v>1.5969487000000001E-2</v>
      </c>
      <c r="G22">
        <v>0.14263055999999999</v>
      </c>
      <c r="H22">
        <v>4.9040318999999902E-2</v>
      </c>
      <c r="I22">
        <v>1.8640305999999999E-2</v>
      </c>
      <c r="J22">
        <v>0.12785405899999899</v>
      </c>
      <c r="K22">
        <v>0.99638753099999899</v>
      </c>
      <c r="L22">
        <v>1.5101618539999899</v>
      </c>
      <c r="M22">
        <v>6.0660000999999998E-2</v>
      </c>
      <c r="N22">
        <v>8.6552726999999996E-2</v>
      </c>
      <c r="O22">
        <v>4.8532211999999901E-2</v>
      </c>
      <c r="P22">
        <v>5.2929047E-2</v>
      </c>
      <c r="Q22">
        <v>4.6941822999999903E-2</v>
      </c>
      <c r="R22">
        <v>2.4901836E-2</v>
      </c>
      <c r="S22">
        <v>8.46168099999999E-3</v>
      </c>
      <c r="T22">
        <v>47.429885763000001</v>
      </c>
      <c r="U22">
        <v>33.445042813000001</v>
      </c>
    </row>
    <row r="23" spans="2:21" x14ac:dyDescent="0.2">
      <c r="B23">
        <v>3</v>
      </c>
      <c r="C23">
        <v>7.1114162529999998</v>
      </c>
      <c r="D23">
        <v>21.393974953000001</v>
      </c>
      <c r="E23">
        <v>2.1377959999999901E-2</v>
      </c>
      <c r="F23">
        <v>1.62649419999999E-2</v>
      </c>
      <c r="G23">
        <v>0.145113676999999</v>
      </c>
      <c r="H23">
        <v>4.9385938999999802E-2</v>
      </c>
      <c r="I23">
        <v>1.9798126999999999E-2</v>
      </c>
      <c r="J23">
        <v>0.12967936099999999</v>
      </c>
      <c r="K23">
        <v>0.979273595</v>
      </c>
      <c r="L23">
        <v>1.478360125</v>
      </c>
      <c r="M23">
        <v>5.41061519999999E-2</v>
      </c>
      <c r="N23">
        <v>8.7020491999999797E-2</v>
      </c>
      <c r="O23">
        <v>4.8209202999999902E-2</v>
      </c>
      <c r="P23">
        <v>5.4615232999999798E-2</v>
      </c>
      <c r="Q23">
        <v>4.6568422999999901E-2</v>
      </c>
      <c r="R23">
        <v>2.5496920999999999E-2</v>
      </c>
      <c r="S23">
        <v>8.9988350000000002E-3</v>
      </c>
      <c r="T23">
        <v>44.370894585999999</v>
      </c>
      <c r="U23">
        <v>31.697978109000001</v>
      </c>
    </row>
    <row r="24" spans="2:21" x14ac:dyDescent="0.2">
      <c r="B24">
        <v>4</v>
      </c>
      <c r="C24">
        <v>7.0712179669999999</v>
      </c>
      <c r="D24">
        <v>23.185986245999899</v>
      </c>
      <c r="E24">
        <v>2.0277168999999901E-2</v>
      </c>
      <c r="F24">
        <v>1.5665299000000001E-2</v>
      </c>
      <c r="G24">
        <v>0.14336747999999999</v>
      </c>
      <c r="H24">
        <v>4.8257206999999899E-2</v>
      </c>
      <c r="I24">
        <v>1.7000789999999901E-2</v>
      </c>
      <c r="J24">
        <v>0.122402846999999</v>
      </c>
      <c r="K24">
        <v>0.98738956899999997</v>
      </c>
      <c r="L24">
        <v>1.4665971010000001</v>
      </c>
      <c r="M24">
        <v>5.2556973999999999E-2</v>
      </c>
      <c r="N24">
        <v>8.55300229999999E-2</v>
      </c>
      <c r="O24">
        <v>4.7149626E-2</v>
      </c>
      <c r="P24">
        <v>4.9819033999999998E-2</v>
      </c>
      <c r="Q24">
        <v>4.5880861999999897E-2</v>
      </c>
      <c r="R24">
        <v>2.4413463999999899E-2</v>
      </c>
      <c r="S24">
        <v>8.0040069999999901E-3</v>
      </c>
      <c r="T24">
        <v>44.525312751000001</v>
      </c>
      <c r="U24">
        <v>33.417211205000001</v>
      </c>
    </row>
    <row r="25" spans="2:21" x14ac:dyDescent="0.2">
      <c r="B25">
        <v>5</v>
      </c>
      <c r="C25">
        <v>7.4741345190000104</v>
      </c>
      <c r="D25">
        <v>23.2393809359999</v>
      </c>
      <c r="E25">
        <v>2.5034706999999899E-2</v>
      </c>
      <c r="F25">
        <v>2.1265757999999899E-2</v>
      </c>
      <c r="G25">
        <v>0.14998962499999899</v>
      </c>
      <c r="H25">
        <v>5.3509197999999897E-2</v>
      </c>
      <c r="I25">
        <v>2.6597907E-2</v>
      </c>
      <c r="J25">
        <v>0.15665696199999901</v>
      </c>
      <c r="K25">
        <v>1.0575633470000001</v>
      </c>
      <c r="L25">
        <v>1.4969219119999999</v>
      </c>
      <c r="M25">
        <v>6.0103785000000097E-2</v>
      </c>
      <c r="N25">
        <v>9.2436424000000003E-2</v>
      </c>
      <c r="O25">
        <v>5.4050882999999897E-2</v>
      </c>
      <c r="P25">
        <v>6.5438214999999897E-2</v>
      </c>
      <c r="Q25">
        <v>5.0290345999999903E-2</v>
      </c>
      <c r="R25">
        <v>2.9568048999999999E-2</v>
      </c>
      <c r="S25">
        <v>1.1890443999999899E-2</v>
      </c>
      <c r="T25">
        <v>44.388077471999999</v>
      </c>
      <c r="U25">
        <v>34.10185517</v>
      </c>
    </row>
    <row r="26" spans="2:21" x14ac:dyDescent="0.2">
      <c r="B26">
        <v>6</v>
      </c>
      <c r="C26">
        <v>6.9968288940000001</v>
      </c>
      <c r="D26">
        <v>23.439458288000001</v>
      </c>
      <c r="E26">
        <v>2.4164664999999901E-2</v>
      </c>
      <c r="F26">
        <v>1.9576948E-2</v>
      </c>
      <c r="G26">
        <v>0.15033519100000001</v>
      </c>
      <c r="H26">
        <v>5.3049750999999798E-2</v>
      </c>
      <c r="I26">
        <v>2.3999398000000002E-2</v>
      </c>
      <c r="J26">
        <v>0.14630080600000001</v>
      </c>
      <c r="K26">
        <v>0.97363515700000103</v>
      </c>
      <c r="L26">
        <v>1.4542293229999901</v>
      </c>
      <c r="M26">
        <v>5.8520236999999899E-2</v>
      </c>
      <c r="N26">
        <v>9.0921041999999896E-2</v>
      </c>
      <c r="O26">
        <v>5.1384410999999901E-2</v>
      </c>
      <c r="P26">
        <v>6.1125301999999999E-2</v>
      </c>
      <c r="Q26">
        <v>4.9877523999999902E-2</v>
      </c>
      <c r="R26">
        <v>2.8591103E-2</v>
      </c>
      <c r="S26">
        <v>1.0781765999999899E-2</v>
      </c>
      <c r="T26">
        <v>44.305936688000003</v>
      </c>
      <c r="U26">
        <v>33.666576411000001</v>
      </c>
    </row>
    <row r="27" spans="2:21" x14ac:dyDescent="0.2">
      <c r="B27">
        <v>7</v>
      </c>
      <c r="C27">
        <v>7.4625611049999998</v>
      </c>
      <c r="D27">
        <v>22.82496085</v>
      </c>
      <c r="E27">
        <v>2.230615E-2</v>
      </c>
      <c r="F27">
        <v>1.8076180000000001E-2</v>
      </c>
      <c r="G27">
        <v>0.14676730099999999</v>
      </c>
      <c r="H27">
        <v>5.0970807E-2</v>
      </c>
      <c r="I27">
        <v>2.1388586000000001E-2</v>
      </c>
      <c r="J27">
        <v>0.136882066</v>
      </c>
      <c r="K27">
        <v>1.0994674949999901</v>
      </c>
      <c r="L27">
        <v>1.5105352320000001</v>
      </c>
      <c r="M27">
        <v>5.6234381999999999E-2</v>
      </c>
      <c r="N27">
        <v>8.8913810999999995E-2</v>
      </c>
      <c r="O27">
        <v>4.9755001000000097E-2</v>
      </c>
      <c r="P27">
        <v>5.7125241E-2</v>
      </c>
      <c r="Q27">
        <v>4.9070291000000002E-2</v>
      </c>
      <c r="R27">
        <v>2.6501138E-2</v>
      </c>
      <c r="S27">
        <v>9.6319949999999904E-3</v>
      </c>
      <c r="T27">
        <v>44.357667693000003</v>
      </c>
      <c r="U27">
        <v>33.661574203000001</v>
      </c>
    </row>
    <row r="28" spans="2:21" x14ac:dyDescent="0.2">
      <c r="B28">
        <v>8</v>
      </c>
      <c r="C28">
        <v>7.1563601400000003</v>
      </c>
      <c r="D28">
        <v>23.487976738</v>
      </c>
      <c r="E28">
        <v>2.2029765E-2</v>
      </c>
      <c r="F28">
        <v>1.7306138999999901E-2</v>
      </c>
      <c r="G28">
        <v>0.14432615999999901</v>
      </c>
      <c r="H28">
        <v>5.05491309999999E-2</v>
      </c>
      <c r="I28">
        <v>2.0907203999999999E-2</v>
      </c>
      <c r="J28">
        <v>0.134842781999999</v>
      </c>
      <c r="K28">
        <v>0.96798176000000002</v>
      </c>
      <c r="L28">
        <v>1.4766407349999899</v>
      </c>
      <c r="M28">
        <v>5.5088902000000002E-2</v>
      </c>
      <c r="N28">
        <v>8.7782424999999997E-2</v>
      </c>
      <c r="O28">
        <v>4.9518433000000001E-2</v>
      </c>
      <c r="P28">
        <v>5.5879732999999897E-2</v>
      </c>
      <c r="Q28">
        <v>4.7897324999999998E-2</v>
      </c>
      <c r="R28">
        <v>2.6084820000000002E-2</v>
      </c>
      <c r="S28">
        <v>9.3965949999999902E-3</v>
      </c>
      <c r="T28">
        <v>44.507929421999997</v>
      </c>
      <c r="U28">
        <v>33.840298513999997</v>
      </c>
    </row>
    <row r="29" spans="2:21" x14ac:dyDescent="0.2">
      <c r="B29">
        <v>9</v>
      </c>
      <c r="C29">
        <v>7.1837992689999997</v>
      </c>
      <c r="D29">
        <v>22.784380218999999</v>
      </c>
      <c r="E29">
        <v>2.15160259999999E-2</v>
      </c>
      <c r="F29">
        <v>1.7637131999999899E-2</v>
      </c>
      <c r="G29">
        <v>0.14449606499999901</v>
      </c>
      <c r="H29">
        <v>4.9505193999999898E-2</v>
      </c>
      <c r="I29">
        <v>2.0149925999999999E-2</v>
      </c>
      <c r="J29">
        <v>0.13258235999999901</v>
      </c>
      <c r="K29">
        <v>0.97115457500000002</v>
      </c>
      <c r="L29">
        <v>1.4519456209999899</v>
      </c>
      <c r="M29">
        <v>5.4728262999999999E-2</v>
      </c>
      <c r="N29">
        <v>8.6800188999999695E-2</v>
      </c>
      <c r="O29">
        <v>4.8656961999999998E-2</v>
      </c>
      <c r="P29">
        <v>5.4634794E-2</v>
      </c>
      <c r="Q29">
        <v>4.6488176999999999E-2</v>
      </c>
      <c r="R29">
        <v>2.59733609999999E-2</v>
      </c>
      <c r="S29">
        <v>9.1447849999999904E-3</v>
      </c>
      <c r="T29">
        <v>44.902520539999998</v>
      </c>
      <c r="U29">
        <v>33.132337776999996</v>
      </c>
    </row>
    <row r="30" spans="2:21" x14ac:dyDescent="0.2">
      <c r="B30" s="1" t="s">
        <v>21</v>
      </c>
      <c r="C30" s="1">
        <v>7.2445842304000001</v>
      </c>
      <c r="D30" s="1">
        <v>23.122796592</v>
      </c>
      <c r="E30" s="1">
        <v>2.25079043999999E-2</v>
      </c>
      <c r="F30" s="1">
        <v>1.7997197900000001E-2</v>
      </c>
      <c r="G30" s="1">
        <v>0.14663842560000001</v>
      </c>
      <c r="H30" s="1">
        <v>5.0837415999999899E-2</v>
      </c>
      <c r="I30" s="1">
        <v>2.16744125E-2</v>
      </c>
      <c r="J30" s="1">
        <v>0.138448987699999</v>
      </c>
      <c r="K30" s="1">
        <v>1.0113813036999999</v>
      </c>
      <c r="L30" s="1">
        <v>1.4921633096</v>
      </c>
      <c r="M30" s="1">
        <v>5.7177692699999998E-2</v>
      </c>
      <c r="N30" s="1">
        <v>8.8825367599999899E-2</v>
      </c>
      <c r="O30" s="1">
        <v>5.0319302199999902E-2</v>
      </c>
      <c r="P30" s="1">
        <v>5.7722189100000001E-2</v>
      </c>
      <c r="Q30" s="1">
        <v>4.8876895999999899E-2</v>
      </c>
      <c r="R30" s="1">
        <v>2.6764942699999999E-2</v>
      </c>
      <c r="S30" s="1">
        <v>9.79943499999999E-3</v>
      </c>
      <c r="T30" s="1">
        <v>44.801128778600003</v>
      </c>
      <c r="U30" s="1">
        <v>33.639414801400001</v>
      </c>
    </row>
  </sheetData>
  <mergeCells count="2">
    <mergeCell ref="C3:O3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Summary_Results</vt:lpstr>
      <vt:lpstr>Trackslot_Xorwow</vt:lpstr>
      <vt:lpstr>Trackslot_Ranluxpp</vt:lpstr>
      <vt:lpstr>Track_Xorwow</vt:lpstr>
      <vt:lpstr>Track_Ranluxpp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Davidson, Gregory</dc:creator>
  <cp:lastModifiedBy>Davidson, Gregory</cp:lastModifiedBy>
  <dcterms:created xsi:type="dcterms:W3CDTF">2026-05-14T19:40:53Z</dcterms:created>
  <dcterms:modified xsi:type="dcterms:W3CDTF">2026-06-05T17:04:57Z</dcterms:modified>
</cp:coreProperties>
</file>