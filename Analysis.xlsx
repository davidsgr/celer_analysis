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qe/Codes/celeritas/analysis/celer_analysis/"/>
    </mc:Choice>
  </mc:AlternateContent>
  <xr:revisionPtr revIDLastSave="0" documentId="13_ncr:1_{65864A7D-BCDB-284F-B882-D51A91CD60AD}" xr6:coauthVersionLast="47" xr6:coauthVersionMax="47" xr10:uidLastSave="{00000000-0000-0000-0000-000000000000}"/>
  <bookViews>
    <workbookView xWindow="53640" yWindow="2320" windowWidth="47520" windowHeight="26040" xr2:uid="{18F4029D-343F-3648-AF31-0004853598C3}"/>
  </bookViews>
  <sheets>
    <sheet name="Summary_Results" sheetId="1" r:id="rId1"/>
    <sheet name="Trackslot_Xorwow" sheetId="2" r:id="rId2"/>
    <sheet name="Trackslot_Ranluxpp" sheetId="3" r:id="rId3"/>
    <sheet name="Track_Xorwow" sheetId="4" r:id="rId4"/>
    <sheet name="Track_Ranluxpp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N53" i="1" l="1"/>
  <c r="AM53" i="1"/>
  <c r="AK53" i="1"/>
  <c r="AJ53" i="1"/>
  <c r="AH53" i="1"/>
  <c r="AG53" i="1"/>
  <c r="AE53" i="1"/>
  <c r="AD53" i="1"/>
  <c r="AB53" i="1"/>
  <c r="AA53" i="1"/>
  <c r="Y53" i="1"/>
  <c r="X53" i="1"/>
  <c r="V53" i="1"/>
  <c r="U53" i="1"/>
  <c r="S53" i="1"/>
  <c r="R53" i="1"/>
  <c r="P53" i="1"/>
  <c r="O53" i="1"/>
  <c r="M53" i="1"/>
  <c r="L53" i="1"/>
  <c r="J53" i="1"/>
  <c r="I53" i="1"/>
  <c r="G53" i="1"/>
  <c r="F53" i="1"/>
  <c r="D53" i="1"/>
  <c r="C53" i="1"/>
  <c r="AO52" i="1"/>
  <c r="AO51" i="1"/>
  <c r="AL52" i="1"/>
  <c r="AL51" i="1"/>
  <c r="AI52" i="1"/>
  <c r="AI51" i="1"/>
  <c r="AF52" i="1"/>
  <c r="AF51" i="1"/>
  <c r="AC52" i="1"/>
  <c r="AC51" i="1"/>
  <c r="Z52" i="1"/>
  <c r="Z51" i="1"/>
  <c r="W52" i="1"/>
  <c r="W51" i="1"/>
  <c r="T52" i="1"/>
  <c r="T51" i="1"/>
  <c r="Q52" i="1"/>
  <c r="Q51" i="1"/>
  <c r="N52" i="1"/>
  <c r="N51" i="1"/>
  <c r="K52" i="1"/>
  <c r="K51" i="1"/>
  <c r="H52" i="1"/>
  <c r="H51" i="1"/>
  <c r="E52" i="1"/>
  <c r="E51" i="1"/>
  <c r="AN48" i="1"/>
  <c r="AM48" i="1"/>
  <c r="AK48" i="1"/>
  <c r="AJ48" i="1"/>
  <c r="AH48" i="1"/>
  <c r="AG48" i="1"/>
  <c r="AE48" i="1"/>
  <c r="AD48" i="1"/>
  <c r="AB48" i="1"/>
  <c r="AA48" i="1"/>
  <c r="Y48" i="1"/>
  <c r="X48" i="1"/>
  <c r="V48" i="1"/>
  <c r="U48" i="1"/>
  <c r="S48" i="1"/>
  <c r="R48" i="1"/>
  <c r="P48" i="1"/>
  <c r="O48" i="1"/>
  <c r="M48" i="1"/>
  <c r="L48" i="1"/>
  <c r="J48" i="1"/>
  <c r="I48" i="1"/>
  <c r="G48" i="1"/>
  <c r="F48" i="1"/>
  <c r="D48" i="1"/>
  <c r="C48" i="1"/>
  <c r="AO47" i="1"/>
  <c r="AO46" i="1"/>
  <c r="AL47" i="1"/>
  <c r="AL46" i="1"/>
  <c r="AI47" i="1"/>
  <c r="AI46" i="1"/>
  <c r="AF47" i="1"/>
  <c r="AF46" i="1"/>
  <c r="AC47" i="1"/>
  <c r="AC46" i="1"/>
  <c r="Z47" i="1"/>
  <c r="Z46" i="1"/>
  <c r="W47" i="1"/>
  <c r="W46" i="1"/>
  <c r="T47" i="1"/>
  <c r="T46" i="1"/>
  <c r="Q47" i="1"/>
  <c r="Q46" i="1"/>
  <c r="N47" i="1"/>
  <c r="N46" i="1"/>
  <c r="K47" i="1"/>
  <c r="K46" i="1"/>
  <c r="H47" i="1"/>
  <c r="H46" i="1"/>
  <c r="E47" i="1"/>
  <c r="E46" i="1"/>
  <c r="AN40" i="1"/>
  <c r="AM40" i="1"/>
  <c r="AK40" i="1"/>
  <c r="AJ40" i="1"/>
  <c r="AH40" i="1"/>
  <c r="AG40" i="1"/>
  <c r="AE40" i="1"/>
  <c r="AD40" i="1"/>
  <c r="AB40" i="1"/>
  <c r="AA40" i="1"/>
  <c r="Y40" i="1"/>
  <c r="X40" i="1"/>
  <c r="V40" i="1"/>
  <c r="U40" i="1"/>
  <c r="S40" i="1"/>
  <c r="R40" i="1"/>
  <c r="P40" i="1"/>
  <c r="O40" i="1"/>
  <c r="M40" i="1"/>
  <c r="L40" i="1"/>
  <c r="J40" i="1"/>
  <c r="I40" i="1"/>
  <c r="G40" i="1"/>
  <c r="F40" i="1"/>
  <c r="D40" i="1"/>
  <c r="C40" i="1"/>
  <c r="AO39" i="1"/>
  <c r="AO38" i="1"/>
  <c r="AL39" i="1"/>
  <c r="AL38" i="1"/>
  <c r="AI39" i="1"/>
  <c r="AI38" i="1"/>
  <c r="AF39" i="1"/>
  <c r="AF38" i="1"/>
  <c r="AC39" i="1"/>
  <c r="AC38" i="1"/>
  <c r="Z39" i="1"/>
  <c r="Z38" i="1"/>
  <c r="W39" i="1"/>
  <c r="W38" i="1"/>
  <c r="T39" i="1"/>
  <c r="T38" i="1"/>
  <c r="Q39" i="1"/>
  <c r="Q38" i="1"/>
  <c r="N39" i="1"/>
  <c r="N38" i="1"/>
  <c r="K39" i="1"/>
  <c r="K38" i="1"/>
  <c r="H39" i="1"/>
  <c r="H38" i="1"/>
  <c r="E39" i="1"/>
  <c r="E38" i="1"/>
  <c r="AN35" i="1"/>
  <c r="AM35" i="1"/>
  <c r="AK35" i="1"/>
  <c r="AJ35" i="1"/>
  <c r="AH35" i="1"/>
  <c r="AG35" i="1"/>
  <c r="AE35" i="1"/>
  <c r="AD35" i="1"/>
  <c r="AB35" i="1"/>
  <c r="AA35" i="1"/>
  <c r="Y35" i="1"/>
  <c r="X35" i="1"/>
  <c r="V35" i="1"/>
  <c r="U35" i="1"/>
  <c r="S35" i="1"/>
  <c r="R35" i="1"/>
  <c r="P35" i="1"/>
  <c r="O35" i="1"/>
  <c r="M35" i="1"/>
  <c r="L35" i="1"/>
  <c r="J35" i="1"/>
  <c r="I35" i="1"/>
  <c r="G35" i="1"/>
  <c r="F35" i="1"/>
  <c r="D35" i="1"/>
  <c r="C35" i="1"/>
  <c r="AO34" i="1"/>
  <c r="AO33" i="1"/>
  <c r="AL34" i="1"/>
  <c r="AL33" i="1"/>
  <c r="AI34" i="1"/>
  <c r="AI33" i="1"/>
  <c r="AF34" i="1"/>
  <c r="AF33" i="1"/>
  <c r="AC34" i="1"/>
  <c r="AC33" i="1"/>
  <c r="Z34" i="1"/>
  <c r="Z33" i="1"/>
  <c r="W34" i="1"/>
  <c r="W33" i="1"/>
  <c r="T34" i="1"/>
  <c r="T33" i="1"/>
  <c r="Q34" i="1"/>
  <c r="Q33" i="1"/>
  <c r="N34" i="1"/>
  <c r="N33" i="1"/>
  <c r="K34" i="1"/>
  <c r="K33" i="1"/>
  <c r="H34" i="1"/>
  <c r="H33" i="1"/>
  <c r="E34" i="1"/>
  <c r="E33" i="1"/>
  <c r="AN27" i="1"/>
  <c r="AM27" i="1"/>
  <c r="AK27" i="1"/>
  <c r="AJ27" i="1"/>
  <c r="AH27" i="1"/>
  <c r="AG27" i="1"/>
  <c r="AE27" i="1"/>
  <c r="AD27" i="1"/>
  <c r="AB27" i="1"/>
  <c r="AA27" i="1"/>
  <c r="Y27" i="1"/>
  <c r="X27" i="1"/>
  <c r="V27" i="1"/>
  <c r="U27" i="1"/>
  <c r="S27" i="1"/>
  <c r="R27" i="1"/>
  <c r="P27" i="1"/>
  <c r="O27" i="1"/>
  <c r="M27" i="1"/>
  <c r="L27" i="1"/>
  <c r="J27" i="1"/>
  <c r="I27" i="1"/>
  <c r="G27" i="1"/>
  <c r="F27" i="1"/>
  <c r="D27" i="1"/>
  <c r="C27" i="1"/>
  <c r="AO26" i="1"/>
  <c r="AO25" i="1"/>
  <c r="AL26" i="1"/>
  <c r="AL25" i="1"/>
  <c r="AI26" i="1"/>
  <c r="AI25" i="1"/>
  <c r="AF26" i="1"/>
  <c r="AF25" i="1"/>
  <c r="AC26" i="1"/>
  <c r="AC25" i="1"/>
  <c r="Z26" i="1"/>
  <c r="Z25" i="1"/>
  <c r="W26" i="1"/>
  <c r="W25" i="1"/>
  <c r="T26" i="1"/>
  <c r="T25" i="1"/>
  <c r="Q26" i="1"/>
  <c r="Q25" i="1"/>
  <c r="N26" i="1"/>
  <c r="N25" i="1"/>
  <c r="K26" i="1"/>
  <c r="K25" i="1"/>
  <c r="H26" i="1"/>
  <c r="H25" i="1"/>
  <c r="E26" i="1"/>
  <c r="E25" i="1"/>
  <c r="AN6" i="1"/>
  <c r="AM6" i="1"/>
  <c r="AK6" i="1"/>
  <c r="AJ6" i="1"/>
  <c r="AH6" i="1"/>
  <c r="AG6" i="1"/>
  <c r="AE6" i="1"/>
  <c r="AD6" i="1"/>
  <c r="AB6" i="1"/>
  <c r="AA6" i="1"/>
  <c r="Y6" i="1"/>
  <c r="X6" i="1"/>
  <c r="V6" i="1"/>
  <c r="U6" i="1"/>
  <c r="S6" i="1"/>
  <c r="R6" i="1"/>
  <c r="P6" i="1"/>
  <c r="O6" i="1"/>
  <c r="M6" i="1"/>
  <c r="L6" i="1"/>
  <c r="J6" i="1"/>
  <c r="I6" i="1"/>
  <c r="G6" i="1"/>
  <c r="F6" i="1"/>
  <c r="D6" i="1"/>
  <c r="C6" i="1"/>
  <c r="AO5" i="1"/>
  <c r="AO4" i="1"/>
  <c r="AL5" i="1"/>
  <c r="AL4" i="1"/>
  <c r="AI5" i="1"/>
  <c r="AI4" i="1"/>
  <c r="AF5" i="1"/>
  <c r="AF4" i="1"/>
  <c r="AC5" i="1"/>
  <c r="AC4" i="1"/>
  <c r="Z5" i="1"/>
  <c r="Z4" i="1"/>
  <c r="W5" i="1"/>
  <c r="W4" i="1"/>
  <c r="T5" i="1"/>
  <c r="T4" i="1"/>
  <c r="Q5" i="1"/>
  <c r="Q4" i="1"/>
  <c r="N5" i="1"/>
  <c r="N4" i="1"/>
  <c r="K5" i="1"/>
  <c r="K4" i="1"/>
  <c r="H5" i="1"/>
  <c r="H4" i="1"/>
  <c r="E5" i="1"/>
  <c r="E4" i="1"/>
</calcChain>
</file>

<file path=xl/sharedStrings.xml><?xml version="1.0" encoding="utf-8"?>
<sst xmlns="http://schemas.openxmlformats.org/spreadsheetml/2006/main" count="585" uniqueCount="47">
  <si>
    <t>Branch</t>
  </si>
  <si>
    <t>Commit</t>
  </si>
  <si>
    <t>Dune</t>
  </si>
  <si>
    <t>develop</t>
  </si>
  <si>
    <t>absorption</t>
  </si>
  <si>
    <t>along-step</t>
  </si>
  <si>
    <t>locate-vacancies</t>
  </si>
  <si>
    <t>pre-step</t>
  </si>
  <si>
    <t>primary-generate</t>
  </si>
  <si>
    <t>tracking-cut</t>
  </si>
  <si>
    <t>setup</t>
  </si>
  <si>
    <t>total</t>
  </si>
  <si>
    <t>XORWOW</t>
  </si>
  <si>
    <t>Ranlux++</t>
  </si>
  <si>
    <t>Run</t>
  </si>
  <si>
    <t>Average</t>
  </si>
  <si>
    <t xml:space="preserve">Average </t>
  </si>
  <si>
    <t>Rel Diff (%)</t>
  </si>
  <si>
    <t>Trackslot reseeding</t>
  </si>
  <si>
    <t>Track reseeding</t>
  </si>
  <si>
    <t>run</t>
  </si>
  <si>
    <t>boundary-init</t>
  </si>
  <si>
    <t>boundary-post</t>
  </si>
  <si>
    <t>discrete-select</t>
  </si>
  <si>
    <t>rayleigh</t>
  </si>
  <si>
    <t>surface-physics</t>
  </si>
  <si>
    <t>kernel</t>
  </si>
  <si>
    <t>num_regs</t>
  </si>
  <si>
    <t>occupancy</t>
  </si>
  <si>
    <t>local_mem</t>
  </si>
  <si>
    <t>rng-reseed</t>
  </si>
  <si>
    <t>Track/Ranlux++</t>
  </si>
  <si>
    <t>Track/Xorwow</t>
  </si>
  <si>
    <t>Trackslot/Ranlux++</t>
  </si>
  <si>
    <t>Trackslot/Xorwow</t>
  </si>
  <si>
    <t>dc56207d6ef907c02c0523aaf3dede99086c627c</t>
  </si>
  <si>
    <t>make-ranlux-32-bit</t>
  </si>
  <si>
    <t>6d9cd365278220dd26ad3e58959e7618560c1405</t>
  </si>
  <si>
    <t>Analytic rayleight intrinsics</t>
  </si>
  <si>
    <t>GPU Results</t>
  </si>
  <si>
    <t>CPU Results</t>
  </si>
  <si>
    <t>6d9cd365278220dd26ad3e58959e7618560c1405/</t>
  </si>
  <si>
    <t>Old Ranlux++</t>
  </si>
  <si>
    <t>New Ranlux++</t>
  </si>
  <si>
    <t>ls</t>
  </si>
  <si>
    <t>pre-advance</t>
  </si>
  <si>
    <t>fb30893bfee97625fc6b18f1ac46ce284f8d7c77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</si>
</sst>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0" xfId="0" quotePrefix="1"/>
    <xf numFmtId="0" fontId="1" fillId="0" borderId="0" xfId="0" applyFont="1" applyAlignment="1">
      <alignment horizontal="center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3500"/>
      <color rgb="FFFF0000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848BA-D8C3-7041-A0EE-B663A4811CD2}">
  <dimension ref="A1:AO53"/>
  <sheetViews>
    <sheetView tabSelected="1" topLeftCell="U15" zoomScale="150" zoomScaleNormal="150" workbookViewId="0">
      <selection activeCell="AM53" sqref="AM53:AN53"/>
    </sheetView>
  </sheetViews>
  <sheetFormatPr baseColWidth="10" defaultRowHeight="16" x14ac:dyDescent="0.2"/>
  <cols>
    <col min="1" max="1" width="18.6640625" customWidth="1"/>
    <col min="2" max="2" width="22.33203125" customWidth="1"/>
    <col min="3" max="5" width="12.1640625" bestFit="1" customWidth="1"/>
    <col min="6" max="6" width="15.5" bestFit="1" customWidth="1"/>
    <col min="7" max="43" width="12.1640625" bestFit="1" customWidth="1"/>
    <col min="44" max="44" width="10.1640625" bestFit="1" customWidth="1"/>
    <col min="45" max="46" width="12.1640625" bestFit="1" customWidth="1"/>
    <col min="47" max="47" width="10.1640625" bestFit="1" customWidth="1"/>
    <col min="48" max="49" width="12.1640625" bestFit="1" customWidth="1"/>
    <col min="50" max="50" width="10.1640625" bestFit="1" customWidth="1"/>
    <col min="51" max="52" width="12.1640625" bestFit="1" customWidth="1"/>
    <col min="53" max="53" width="10.1640625" bestFit="1" customWidth="1"/>
    <col min="54" max="55" width="12.1640625" bestFit="1" customWidth="1"/>
    <col min="56" max="56" width="10.1640625" bestFit="1" customWidth="1"/>
    <col min="57" max="58" width="12.1640625" bestFit="1" customWidth="1"/>
    <col min="59" max="59" width="10.1640625" bestFit="1" customWidth="1"/>
  </cols>
  <sheetData>
    <row r="1" spans="1:41" x14ac:dyDescent="0.2">
      <c r="A1" s="1" t="s">
        <v>0</v>
      </c>
      <c r="B1" s="1" t="s">
        <v>1</v>
      </c>
      <c r="C1" s="6" t="s">
        <v>2</v>
      </c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</row>
    <row r="2" spans="1:41" x14ac:dyDescent="0.2">
      <c r="A2" t="s">
        <v>3</v>
      </c>
      <c r="B2" t="s">
        <v>35</v>
      </c>
      <c r="C2" s="6" t="s">
        <v>4</v>
      </c>
      <c r="D2" s="6"/>
      <c r="E2" s="6"/>
      <c r="F2" s="6" t="s">
        <v>5</v>
      </c>
      <c r="G2" s="6"/>
      <c r="H2" s="6"/>
      <c r="I2" s="6" t="s">
        <v>21</v>
      </c>
      <c r="J2" s="6"/>
      <c r="K2" s="6"/>
      <c r="L2" s="6" t="s">
        <v>22</v>
      </c>
      <c r="M2" s="6"/>
      <c r="N2" s="6"/>
      <c r="O2" s="6" t="s">
        <v>23</v>
      </c>
      <c r="P2" s="6"/>
      <c r="Q2" s="6"/>
      <c r="R2" s="6" t="s">
        <v>6</v>
      </c>
      <c r="S2" s="6"/>
      <c r="T2" s="6"/>
      <c r="U2" s="6" t="s">
        <v>7</v>
      </c>
      <c r="V2" s="6"/>
      <c r="W2" s="6"/>
      <c r="X2" s="6" t="s">
        <v>8</v>
      </c>
      <c r="Y2" s="6"/>
      <c r="Z2" s="6"/>
      <c r="AA2" s="6" t="s">
        <v>24</v>
      </c>
      <c r="AB2" s="6"/>
      <c r="AC2" s="6"/>
      <c r="AD2" s="6" t="s">
        <v>25</v>
      </c>
      <c r="AE2" s="6"/>
      <c r="AF2" s="6"/>
      <c r="AG2" s="6" t="s">
        <v>9</v>
      </c>
      <c r="AH2" s="6"/>
      <c r="AI2" s="6"/>
      <c r="AJ2" s="6" t="s">
        <v>10</v>
      </c>
      <c r="AK2" s="6"/>
      <c r="AL2" s="6"/>
      <c r="AM2" s="6" t="s">
        <v>11</v>
      </c>
      <c r="AN2" s="6"/>
      <c r="AO2" s="6"/>
    </row>
    <row r="3" spans="1:41" x14ac:dyDescent="0.2">
      <c r="A3" s="1" t="s">
        <v>39</v>
      </c>
      <c r="C3" t="s">
        <v>12</v>
      </c>
      <c r="D3" t="s">
        <v>13</v>
      </c>
      <c r="E3" t="s">
        <v>17</v>
      </c>
      <c r="F3" t="s">
        <v>12</v>
      </c>
      <c r="G3" t="s">
        <v>13</v>
      </c>
      <c r="H3" t="s">
        <v>17</v>
      </c>
      <c r="I3" t="s">
        <v>12</v>
      </c>
      <c r="J3" t="s">
        <v>13</v>
      </c>
      <c r="K3" t="s">
        <v>17</v>
      </c>
      <c r="L3" t="s">
        <v>12</v>
      </c>
      <c r="M3" t="s">
        <v>13</v>
      </c>
      <c r="N3" t="s">
        <v>17</v>
      </c>
      <c r="O3" t="s">
        <v>12</v>
      </c>
      <c r="P3" t="s">
        <v>13</v>
      </c>
      <c r="Q3" t="s">
        <v>17</v>
      </c>
      <c r="R3" t="s">
        <v>12</v>
      </c>
      <c r="S3" t="s">
        <v>13</v>
      </c>
      <c r="T3" t="s">
        <v>17</v>
      </c>
      <c r="U3" t="s">
        <v>12</v>
      </c>
      <c r="V3" t="s">
        <v>13</v>
      </c>
      <c r="W3" t="s">
        <v>17</v>
      </c>
      <c r="X3" t="s">
        <v>12</v>
      </c>
      <c r="Y3" t="s">
        <v>13</v>
      </c>
      <c r="Z3" t="s">
        <v>17</v>
      </c>
      <c r="AA3" t="s">
        <v>12</v>
      </c>
      <c r="AB3" t="s">
        <v>13</v>
      </c>
      <c r="AC3" t="s">
        <v>17</v>
      </c>
      <c r="AD3" t="s">
        <v>12</v>
      </c>
      <c r="AE3" t="s">
        <v>13</v>
      </c>
      <c r="AF3" t="s">
        <v>17</v>
      </c>
      <c r="AG3" t="s">
        <v>12</v>
      </c>
      <c r="AH3" t="s">
        <v>13</v>
      </c>
      <c r="AI3" t="s">
        <v>17</v>
      </c>
      <c r="AJ3" t="s">
        <v>12</v>
      </c>
      <c r="AK3" t="s">
        <v>13</v>
      </c>
      <c r="AL3" t="s">
        <v>17</v>
      </c>
      <c r="AM3" t="s">
        <v>12</v>
      </c>
      <c r="AN3" t="s">
        <v>13</v>
      </c>
      <c r="AO3" t="s">
        <v>17</v>
      </c>
    </row>
    <row r="4" spans="1:41" x14ac:dyDescent="0.2">
      <c r="B4" s="1" t="s">
        <v>18</v>
      </c>
      <c r="C4">
        <v>8.7062731000000001E-3</v>
      </c>
      <c r="D4">
        <v>8.9145253999999997E-3</v>
      </c>
      <c r="E4">
        <f>(ABS(C4-D4)/C4)*100</f>
        <v>2.3919798702386164</v>
      </c>
      <c r="F4">
        <v>2.1446409820999999</v>
      </c>
      <c r="G4">
        <v>2.1463010935</v>
      </c>
      <c r="H4">
        <f>(ABS(F4-G4)/F4)*100</f>
        <v>7.740742687732062E-2</v>
      </c>
      <c r="I4">
        <v>1.0466136881999999</v>
      </c>
      <c r="J4">
        <v>1.0522653564</v>
      </c>
      <c r="K4">
        <f>(ABS(I4-J4)/I4)*100</f>
        <v>0.53999563198146128</v>
      </c>
      <c r="L4">
        <v>2.91830690999999E-2</v>
      </c>
      <c r="M4">
        <v>2.87602816E-2</v>
      </c>
      <c r="N4">
        <f>(ABS(L4-M4)/L4)*100</f>
        <v>1.448742414826758</v>
      </c>
      <c r="O4">
        <v>4.4523580100000001E-2</v>
      </c>
      <c r="P4">
        <v>0.3422291583</v>
      </c>
      <c r="Q4">
        <f>(ABS(O4-P4)/O4)*100</f>
        <v>668.64699004741533</v>
      </c>
      <c r="R4">
        <v>3.6952062099999898E-2</v>
      </c>
      <c r="S4">
        <v>4.12929005E-2</v>
      </c>
      <c r="T4">
        <f>(ABS(R4-S4)/R4)*100</f>
        <v>11.747215590439577</v>
      </c>
      <c r="U4">
        <v>6.6079742699999999E-2</v>
      </c>
      <c r="V4">
        <v>0.215876553699999</v>
      </c>
      <c r="W4">
        <f>(ABS(U4-V4)/U4)*100</f>
        <v>226.69097196711542</v>
      </c>
      <c r="X4">
        <v>0.197212889999999</v>
      </c>
      <c r="Y4">
        <v>0.27388273569999899</v>
      </c>
      <c r="Z4">
        <f>(ABS(X4-Y4)/X4)*100</f>
        <v>38.876690920152519</v>
      </c>
      <c r="AA4">
        <v>0.179757875799999</v>
      </c>
      <c r="AB4">
        <v>5.6564299338999904</v>
      </c>
      <c r="AC4">
        <f>(ABS(AA4-AB4)/AA4)*100</f>
        <v>3046.693800606216</v>
      </c>
      <c r="AD4">
        <v>9.1257863999999994E-2</v>
      </c>
      <c r="AE4">
        <v>0.10454081950000001</v>
      </c>
      <c r="AF4">
        <f>(ABS(AD4-AE4)/AD4)*100</f>
        <v>14.555409164518702</v>
      </c>
      <c r="AG4">
        <v>8.2354157000000001E-3</v>
      </c>
      <c r="AH4">
        <v>8.3324058999999992E-3</v>
      </c>
      <c r="AI4">
        <f>(ABS(AG4-AH4)/AG4)*100</f>
        <v>1.1777207554926357</v>
      </c>
      <c r="AJ4">
        <v>0.45499065630000002</v>
      </c>
      <c r="AK4">
        <v>0.4117777836</v>
      </c>
      <c r="AL4">
        <f>(ABS(AJ4-AK4)/AJ4)*100</f>
        <v>9.4975296968532525</v>
      </c>
      <c r="AM4">
        <v>3.8585792509000001</v>
      </c>
      <c r="AN4">
        <v>9.8847162262000001</v>
      </c>
      <c r="AO4">
        <f>(ABS(AM4-AN4)/AM4)*100</f>
        <v>156.17502151587078</v>
      </c>
    </row>
    <row r="5" spans="1:41" x14ac:dyDescent="0.2">
      <c r="B5" s="1" t="s">
        <v>19</v>
      </c>
      <c r="C5">
        <v>8.6847513999999994E-3</v>
      </c>
      <c r="D5">
        <v>8.8335710000000001E-3</v>
      </c>
      <c r="E5">
        <f>(ABS(C5-D5)/C5)*100</f>
        <v>1.7135735169115005</v>
      </c>
      <c r="F5">
        <v>2.1444284307999899</v>
      </c>
      <c r="G5">
        <v>2.1442017583999999</v>
      </c>
      <c r="H5">
        <f>(ABS(F5-G5)/F5)*100</f>
        <v>1.0570294477275123E-2</v>
      </c>
      <c r="I5">
        <v>1.0465271166999901</v>
      </c>
      <c r="J5">
        <v>1.0508231553</v>
      </c>
      <c r="K5">
        <f>(ABS(I5-J5)/I5)*100</f>
        <v>0.41050427948361384</v>
      </c>
      <c r="L5">
        <v>2.9159615399999901E-2</v>
      </c>
      <c r="M5">
        <v>2.8902670799999901E-2</v>
      </c>
      <c r="N5">
        <f>(ABS(L5-M5)/L5)*100</f>
        <v>0.88116594294998984</v>
      </c>
      <c r="O5">
        <v>4.4577447800000003E-2</v>
      </c>
      <c r="P5">
        <v>0.3420397684</v>
      </c>
      <c r="Q5">
        <f>(ABS(O5-P5)/O5)*100</f>
        <v>667.29329578172928</v>
      </c>
      <c r="R5">
        <v>3.7031276699999997E-2</v>
      </c>
      <c r="S5">
        <v>4.0648675099999899E-2</v>
      </c>
      <c r="T5">
        <f>(ABS(R5-S5)/R5)*100</f>
        <v>9.7684949652300332</v>
      </c>
      <c r="U5">
        <v>6.6001362600000002E-2</v>
      </c>
      <c r="V5">
        <v>0.21562917910000001</v>
      </c>
      <c r="W5">
        <f>(ABS(U5-V5)/U5)*100</f>
        <v>226.70413246892571</v>
      </c>
      <c r="X5">
        <v>0.1973753147</v>
      </c>
      <c r="Y5">
        <v>0.273541621499999</v>
      </c>
      <c r="Z5">
        <f>(ABS(X5-Y5)/X5)*100</f>
        <v>38.589580928986862</v>
      </c>
      <c r="AA5">
        <v>0.179321087799999</v>
      </c>
      <c r="AB5">
        <v>5.6512286165999903</v>
      </c>
      <c r="AC5">
        <f>(ABS(AA5-AB5)/AA5)*100</f>
        <v>3051.4579160388193</v>
      </c>
      <c r="AD5">
        <v>9.1200921500000004E-2</v>
      </c>
      <c r="AE5">
        <v>0.1044586519</v>
      </c>
      <c r="AF5">
        <f>(ABS(AD5-AE5)/AD5)*100</f>
        <v>14.536838205083269</v>
      </c>
      <c r="AG5">
        <v>8.2255279999999993E-3</v>
      </c>
      <c r="AH5">
        <v>8.2863112999999895E-3</v>
      </c>
      <c r="AI5">
        <f>(ABS(AG5-AH5)/AG5)*100</f>
        <v>0.73895924978907312</v>
      </c>
      <c r="AJ5">
        <v>0.44681210440000002</v>
      </c>
      <c r="AK5">
        <v>0.40873423069999998</v>
      </c>
      <c r="AL5">
        <f>(ABS(AJ5-AK5)/AJ5)*100</f>
        <v>8.5221222355049608</v>
      </c>
      <c r="AM5">
        <v>3.8579969274999901</v>
      </c>
      <c r="AN5">
        <v>9.8744155062000001</v>
      </c>
      <c r="AO5">
        <f>(ABS(AM5-AN5)/AM5)*100</f>
        <v>155.94669181343005</v>
      </c>
    </row>
    <row r="6" spans="1:41" x14ac:dyDescent="0.2">
      <c r="B6" t="s">
        <v>17</v>
      </c>
      <c r="C6">
        <f>(ABS(C5-C4)/C4)*100</f>
        <v>0.24719762121866717</v>
      </c>
      <c r="D6">
        <f>(ABS(D5-D4)/D4)*100</f>
        <v>0.90811789038146151</v>
      </c>
      <c r="E6" s="3"/>
      <c r="F6">
        <f>(ABS(F5-F4)/F4)*100</f>
        <v>9.9108103306801299E-3</v>
      </c>
      <c r="G6">
        <f>(ABS(G5-G4)/G4)*100</f>
        <v>9.7811770508704904E-2</v>
      </c>
      <c r="H6" s="3"/>
      <c r="I6">
        <f>(ABS(I5-I4)/I4)*100</f>
        <v>8.2715810987222561E-3</v>
      </c>
      <c r="J6">
        <f>(ABS(J5-J4)/J4)*100</f>
        <v>0.13705678812176936</v>
      </c>
      <c r="K6" s="3"/>
      <c r="L6">
        <f>(ABS(L5-L4)/L4)*100</f>
        <v>8.0367489518087337E-2</v>
      </c>
      <c r="M6">
        <f>(ABS(M5-M4)/M4)*100</f>
        <v>0.49508972818924607</v>
      </c>
      <c r="N6" s="3"/>
      <c r="O6">
        <f>(ABS(O5-O4)/O4)*100</f>
        <v>0.12098690150031649</v>
      </c>
      <c r="P6">
        <f>(ABS(P5-P4)/P4)*100</f>
        <v>5.5340082925950732E-2</v>
      </c>
      <c r="Q6" s="3"/>
      <c r="R6">
        <f>(ABS(R5-R4)/R4)*100</f>
        <v>0.21437125696998519</v>
      </c>
      <c r="S6">
        <f>(ABS(S5-S4)/S4)*100</f>
        <v>1.5601359851195262</v>
      </c>
      <c r="T6" s="3"/>
      <c r="U6">
        <f>(ABS(U5-U4)/U4)*100</f>
        <v>0.11861441464117155</v>
      </c>
      <c r="V6">
        <f>(ABS(V5-V4)/V4)*100</f>
        <v>0.1145907676211855</v>
      </c>
      <c r="W6" s="3"/>
      <c r="X6">
        <f>(ABS(X5-X4)/X4)*100</f>
        <v>8.2360083055928429E-2</v>
      </c>
      <c r="Y6">
        <f>(ABS(Y5-Y4)/Y4)*100</f>
        <v>0.12454753642217016</v>
      </c>
      <c r="Z6" s="3"/>
      <c r="AA6">
        <f>(ABS(AA5-AA4)/AA4)*100</f>
        <v>0.24298684998145487</v>
      </c>
      <c r="AB6">
        <f>(ABS(AB5-AB4)/AB4)*100</f>
        <v>9.1954065740788973E-2</v>
      </c>
      <c r="AC6" s="3"/>
      <c r="AD6">
        <f>(ABS(AD5-AD4)/AD4)*100</f>
        <v>6.2397362270050639E-2</v>
      </c>
      <c r="AE6">
        <f>(ABS(AE5-AE4)/AE4)*100</f>
        <v>7.8598580337321838E-2</v>
      </c>
      <c r="AF6" s="3"/>
      <c r="AG6">
        <f>(ABS(AG5-AG4)/AG4)*100</f>
        <v>0.12006315601045814</v>
      </c>
      <c r="AH6">
        <f>(ABS(AH5-AH4)/AH4)*100</f>
        <v>0.55319676637464033</v>
      </c>
      <c r="AI6" s="3"/>
      <c r="AJ6">
        <f>(ABS(AJ5-AJ4)/AJ4)*100</f>
        <v>1.7975208472429454</v>
      </c>
      <c r="AK6">
        <f>(ABS(AK5-AK4)/AK4)*100</f>
        <v>0.73912508668911681</v>
      </c>
      <c r="AL6" s="3"/>
      <c r="AM6">
        <f>(ABS(AM5-AM4)/AM4)*100</f>
        <v>1.5091653226356319E-2</v>
      </c>
      <c r="AN6">
        <f>(ABS(AN5-AN4)/AN4)*100</f>
        <v>0.10420855555465922</v>
      </c>
      <c r="AO6" s="3"/>
    </row>
    <row r="8" spans="1:41" x14ac:dyDescent="0.2">
      <c r="B8" s="6" t="s">
        <v>34</v>
      </c>
      <c r="C8" s="6"/>
      <c r="D8" s="6"/>
      <c r="E8" s="6"/>
      <c r="F8" s="6" t="s">
        <v>33</v>
      </c>
      <c r="G8" s="6"/>
      <c r="H8" s="6"/>
      <c r="I8" s="6"/>
    </row>
    <row r="9" spans="1:41" x14ac:dyDescent="0.2">
      <c r="B9" s="1" t="s">
        <v>26</v>
      </c>
      <c r="C9" s="1" t="s">
        <v>27</v>
      </c>
      <c r="D9" s="1" t="s">
        <v>28</v>
      </c>
      <c r="E9" s="1" t="s">
        <v>29</v>
      </c>
      <c r="F9" s="1" t="s">
        <v>26</v>
      </c>
      <c r="G9" s="1" t="s">
        <v>27</v>
      </c>
      <c r="H9" s="1" t="s">
        <v>28</v>
      </c>
      <c r="I9" s="1" t="s">
        <v>29</v>
      </c>
    </row>
    <row r="10" spans="1:41" x14ac:dyDescent="0.2">
      <c r="F10" s="1" t="s">
        <v>30</v>
      </c>
      <c r="G10">
        <v>104</v>
      </c>
      <c r="H10">
        <v>0.25</v>
      </c>
      <c r="I10">
        <v>0</v>
      </c>
      <c r="T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</row>
    <row r="11" spans="1:41" x14ac:dyDescent="0.2">
      <c r="B11" s="1" t="s">
        <v>8</v>
      </c>
      <c r="C11">
        <v>64</v>
      </c>
      <c r="D11">
        <v>0.5</v>
      </c>
      <c r="E11">
        <v>152</v>
      </c>
      <c r="F11" s="1" t="s">
        <v>8</v>
      </c>
      <c r="G11">
        <v>128</v>
      </c>
      <c r="H11">
        <v>0.25</v>
      </c>
      <c r="I11">
        <v>144</v>
      </c>
    </row>
    <row r="12" spans="1:41" x14ac:dyDescent="0.2">
      <c r="B12" s="1" t="s">
        <v>7</v>
      </c>
      <c r="C12">
        <v>47</v>
      </c>
      <c r="D12">
        <v>0.625</v>
      </c>
      <c r="E12">
        <v>0</v>
      </c>
      <c r="F12" s="1" t="s">
        <v>7</v>
      </c>
      <c r="G12">
        <v>64</v>
      </c>
      <c r="H12">
        <v>0.5</v>
      </c>
      <c r="I12">
        <v>8</v>
      </c>
      <c r="J12" s="1"/>
      <c r="K12" s="1"/>
    </row>
    <row r="13" spans="1:41" x14ac:dyDescent="0.2">
      <c r="B13" s="1" t="s">
        <v>23</v>
      </c>
      <c r="C13">
        <v>45</v>
      </c>
      <c r="D13">
        <v>0.625</v>
      </c>
      <c r="E13">
        <v>0</v>
      </c>
      <c r="F13" s="1" t="s">
        <v>23</v>
      </c>
      <c r="G13">
        <v>64</v>
      </c>
      <c r="H13">
        <v>0.5</v>
      </c>
      <c r="I13">
        <v>8</v>
      </c>
    </row>
    <row r="14" spans="1:41" x14ac:dyDescent="0.2">
      <c r="B14" s="1" t="s">
        <v>24</v>
      </c>
      <c r="C14">
        <v>48</v>
      </c>
      <c r="D14">
        <v>0.625</v>
      </c>
      <c r="E14">
        <v>64</v>
      </c>
      <c r="F14" s="1" t="s">
        <v>24</v>
      </c>
      <c r="G14">
        <v>110</v>
      </c>
      <c r="H14">
        <v>0.25</v>
      </c>
      <c r="I14">
        <v>64</v>
      </c>
      <c r="T14" s="2"/>
      <c r="AB14" s="1"/>
      <c r="AC14" s="1"/>
      <c r="AD14" s="1"/>
    </row>
    <row r="15" spans="1:41" x14ac:dyDescent="0.2">
      <c r="B15" s="4" t="s">
        <v>32</v>
      </c>
      <c r="C15" s="4"/>
      <c r="D15" s="4"/>
      <c r="E15" s="4"/>
      <c r="F15" s="4" t="s">
        <v>31</v>
      </c>
      <c r="G15" s="4"/>
      <c r="H15" s="4"/>
      <c r="I15" s="4"/>
    </row>
    <row r="16" spans="1:41" x14ac:dyDescent="0.2">
      <c r="B16" s="1" t="s">
        <v>26</v>
      </c>
      <c r="C16" s="1" t="s">
        <v>27</v>
      </c>
      <c r="D16" s="1" t="s">
        <v>28</v>
      </c>
      <c r="E16" s="1" t="s">
        <v>29</v>
      </c>
      <c r="F16" s="1" t="s">
        <v>26</v>
      </c>
      <c r="G16" s="1" t="s">
        <v>27</v>
      </c>
      <c r="H16" s="1" t="s">
        <v>28</v>
      </c>
      <c r="I16" s="1" t="s">
        <v>29</v>
      </c>
    </row>
    <row r="17" spans="1:41" x14ac:dyDescent="0.2">
      <c r="F17" s="1" t="s">
        <v>30</v>
      </c>
      <c r="G17">
        <v>104</v>
      </c>
      <c r="H17">
        <v>0.25</v>
      </c>
      <c r="I17">
        <v>0</v>
      </c>
    </row>
    <row r="18" spans="1:41" x14ac:dyDescent="0.2">
      <c r="B18" s="1" t="s">
        <v>8</v>
      </c>
      <c r="C18">
        <v>64</v>
      </c>
      <c r="D18">
        <v>0.5</v>
      </c>
      <c r="E18">
        <v>152</v>
      </c>
      <c r="F18" s="1" t="s">
        <v>8</v>
      </c>
      <c r="G18">
        <v>128</v>
      </c>
      <c r="H18">
        <v>0.25</v>
      </c>
      <c r="I18">
        <v>144</v>
      </c>
    </row>
    <row r="19" spans="1:41" x14ac:dyDescent="0.2">
      <c r="B19" s="1" t="s">
        <v>7</v>
      </c>
      <c r="C19">
        <v>47</v>
      </c>
      <c r="D19">
        <v>0.625</v>
      </c>
      <c r="E19">
        <v>0</v>
      </c>
      <c r="F19" s="1" t="s">
        <v>7</v>
      </c>
      <c r="G19">
        <v>64</v>
      </c>
      <c r="H19">
        <v>0.5</v>
      </c>
      <c r="I19">
        <v>8</v>
      </c>
    </row>
    <row r="20" spans="1:41" x14ac:dyDescent="0.2">
      <c r="B20" s="1" t="s">
        <v>23</v>
      </c>
      <c r="C20">
        <v>45</v>
      </c>
      <c r="D20">
        <v>0.625</v>
      </c>
      <c r="E20">
        <v>0</v>
      </c>
      <c r="F20" s="1" t="s">
        <v>23</v>
      </c>
      <c r="G20">
        <v>64</v>
      </c>
      <c r="H20">
        <v>0.5</v>
      </c>
      <c r="I20">
        <v>8</v>
      </c>
    </row>
    <row r="21" spans="1:41" x14ac:dyDescent="0.2">
      <c r="B21" s="1" t="s">
        <v>24</v>
      </c>
      <c r="C21">
        <v>48</v>
      </c>
      <c r="D21">
        <v>0.625</v>
      </c>
      <c r="E21">
        <v>64</v>
      </c>
      <c r="F21" s="1" t="s">
        <v>24</v>
      </c>
      <c r="G21">
        <v>110</v>
      </c>
      <c r="H21">
        <v>0.25</v>
      </c>
      <c r="I21">
        <v>64</v>
      </c>
    </row>
    <row r="23" spans="1:41" x14ac:dyDescent="0.2">
      <c r="C23" s="6" t="s">
        <v>4</v>
      </c>
      <c r="D23" s="6"/>
      <c r="E23" s="6"/>
      <c r="F23" s="6" t="s">
        <v>5</v>
      </c>
      <c r="G23" s="6"/>
      <c r="H23" s="6"/>
      <c r="I23" s="6" t="s">
        <v>21</v>
      </c>
      <c r="J23" s="6"/>
      <c r="K23" s="6"/>
      <c r="L23" s="6" t="s">
        <v>22</v>
      </c>
      <c r="M23" s="6"/>
      <c r="N23" s="6"/>
      <c r="O23" s="6" t="s">
        <v>23</v>
      </c>
      <c r="P23" s="6"/>
      <c r="Q23" s="6"/>
      <c r="R23" s="6" t="s">
        <v>6</v>
      </c>
      <c r="S23" s="6"/>
      <c r="T23" s="6"/>
      <c r="U23" s="6" t="s">
        <v>7</v>
      </c>
      <c r="V23" s="6"/>
      <c r="W23" s="6"/>
      <c r="X23" s="6" t="s">
        <v>8</v>
      </c>
      <c r="Y23" s="6"/>
      <c r="Z23" s="6"/>
      <c r="AA23" s="6" t="s">
        <v>24</v>
      </c>
      <c r="AB23" s="6"/>
      <c r="AC23" s="6"/>
      <c r="AD23" s="6" t="s">
        <v>25</v>
      </c>
      <c r="AE23" s="6"/>
      <c r="AF23" s="6"/>
      <c r="AG23" s="6" t="s">
        <v>9</v>
      </c>
      <c r="AH23" s="6"/>
      <c r="AI23" s="6"/>
      <c r="AJ23" s="6" t="s">
        <v>10</v>
      </c>
      <c r="AK23" s="6"/>
      <c r="AL23" s="6"/>
      <c r="AM23" s="6" t="s">
        <v>11</v>
      </c>
      <c r="AN23" s="6"/>
      <c r="AO23" s="6"/>
    </row>
    <row r="24" spans="1:41" x14ac:dyDescent="0.2">
      <c r="A24" s="1" t="s">
        <v>40</v>
      </c>
      <c r="C24" t="s">
        <v>12</v>
      </c>
      <c r="D24" t="s">
        <v>13</v>
      </c>
      <c r="E24" t="s">
        <v>17</v>
      </c>
      <c r="F24" t="s">
        <v>12</v>
      </c>
      <c r="G24" t="s">
        <v>13</v>
      </c>
      <c r="H24" t="s">
        <v>17</v>
      </c>
      <c r="I24" t="s">
        <v>12</v>
      </c>
      <c r="J24" t="s">
        <v>13</v>
      </c>
      <c r="K24" t="s">
        <v>17</v>
      </c>
      <c r="L24" t="s">
        <v>12</v>
      </c>
      <c r="M24" t="s">
        <v>13</v>
      </c>
      <c r="N24" t="s">
        <v>17</v>
      </c>
      <c r="O24" t="s">
        <v>12</v>
      </c>
      <c r="P24" t="s">
        <v>13</v>
      </c>
      <c r="Q24" t="s">
        <v>17</v>
      </c>
      <c r="R24" t="s">
        <v>12</v>
      </c>
      <c r="S24" t="s">
        <v>13</v>
      </c>
      <c r="T24" t="s">
        <v>17</v>
      </c>
      <c r="U24" t="s">
        <v>12</v>
      </c>
      <c r="V24" t="s">
        <v>13</v>
      </c>
      <c r="W24" t="s">
        <v>17</v>
      </c>
      <c r="X24" t="s">
        <v>12</v>
      </c>
      <c r="Y24" t="s">
        <v>13</v>
      </c>
      <c r="Z24" t="s">
        <v>17</v>
      </c>
      <c r="AA24" t="s">
        <v>12</v>
      </c>
      <c r="AB24" t="s">
        <v>13</v>
      </c>
      <c r="AC24" t="s">
        <v>17</v>
      </c>
      <c r="AD24" t="s">
        <v>12</v>
      </c>
      <c r="AE24" t="s">
        <v>13</v>
      </c>
      <c r="AF24" t="s">
        <v>17</v>
      </c>
      <c r="AG24" t="s">
        <v>12</v>
      </c>
      <c r="AH24" t="s">
        <v>13</v>
      </c>
      <c r="AI24" t="s">
        <v>17</v>
      </c>
      <c r="AJ24" t="s">
        <v>12</v>
      </c>
      <c r="AK24" t="s">
        <v>13</v>
      </c>
      <c r="AL24" t="s">
        <v>17</v>
      </c>
      <c r="AM24" t="s">
        <v>12</v>
      </c>
      <c r="AN24" t="s">
        <v>13</v>
      </c>
      <c r="AO24" t="s">
        <v>17</v>
      </c>
    </row>
    <row r="25" spans="1:41" x14ac:dyDescent="0.2">
      <c r="B25" s="1" t="s">
        <v>18</v>
      </c>
      <c r="C25">
        <v>0.87492126000000003</v>
      </c>
      <c r="D25">
        <v>0.90262013899999904</v>
      </c>
      <c r="E25">
        <f>((D25-C25)/C25)*100</f>
        <v>3.1658710636428027</v>
      </c>
      <c r="F25">
        <v>309.79496472199901</v>
      </c>
      <c r="G25">
        <v>312.18093737599901</v>
      </c>
      <c r="H25">
        <f>((G25-F25)/F25)*100</f>
        <v>0.7701779969668332</v>
      </c>
      <c r="I25">
        <v>120.972857504999</v>
      </c>
      <c r="J25">
        <v>119.777480799</v>
      </c>
      <c r="K25">
        <f>((J25-I25)/I25)*100</f>
        <v>-0.98813628995214797</v>
      </c>
      <c r="L25">
        <v>4.5562133989999998</v>
      </c>
      <c r="M25">
        <v>4.6178531779999998</v>
      </c>
      <c r="N25">
        <f>((M25-L25)/L25)*100</f>
        <v>1.352872958354602</v>
      </c>
      <c r="O25">
        <v>12.539320523999899</v>
      </c>
      <c r="P25">
        <v>23.1073385289999</v>
      </c>
      <c r="Q25">
        <f>((P25-O25)/O25)*100</f>
        <v>84.279032382760434</v>
      </c>
      <c r="R25">
        <v>1.04083198399999</v>
      </c>
      <c r="S25">
        <v>1.0567753879999999</v>
      </c>
      <c r="T25">
        <f>((S25-R25)/R25)*100</f>
        <v>1.5317942035887786</v>
      </c>
      <c r="U25">
        <v>30.717596851</v>
      </c>
      <c r="V25">
        <v>40.63385375</v>
      </c>
      <c r="W25">
        <f>((V25-U25)/U25)*100</f>
        <v>32.282007434045681</v>
      </c>
      <c r="X25">
        <v>49.136902939999899</v>
      </c>
      <c r="Y25">
        <v>57.784604190000003</v>
      </c>
      <c r="Z25">
        <f>((Y25-X25)/X25)*100</f>
        <v>17.599198835465153</v>
      </c>
      <c r="AA25">
        <v>68.309147714999995</v>
      </c>
      <c r="AB25">
        <v>126.848794154</v>
      </c>
      <c r="AC25">
        <f>((AB25-AA25)/AA25)*100</f>
        <v>85.698106911302148</v>
      </c>
      <c r="AD25">
        <v>15.190385771000001</v>
      </c>
      <c r="AE25">
        <v>14.9790614939999</v>
      </c>
      <c r="AF25">
        <f>((AE25-AD25)/AD25)*100</f>
        <v>-1.3911712328171424</v>
      </c>
      <c r="AG25">
        <v>0.50156450599999902</v>
      </c>
      <c r="AH25">
        <v>0.672494589999999</v>
      </c>
      <c r="AI25">
        <f>((AH25-AG25)/AG25)*100</f>
        <v>34.079382004754599</v>
      </c>
      <c r="AJ25">
        <v>0.971720947</v>
      </c>
      <c r="AK25">
        <v>4.9975244019999998</v>
      </c>
      <c r="AL25">
        <f>((AK25-AJ25)/AJ25)*100</f>
        <v>414.29625114379672</v>
      </c>
      <c r="AM25">
        <v>613.64149785300003</v>
      </c>
      <c r="AN25">
        <v>702.56938222400004</v>
      </c>
      <c r="AO25">
        <f>((AN25-AM25)/AM25)*100</f>
        <v>14.491830275843403</v>
      </c>
    </row>
    <row r="26" spans="1:41" x14ac:dyDescent="0.2">
      <c r="B26" s="1" t="s">
        <v>19</v>
      </c>
      <c r="C26">
        <v>0.88827687199999905</v>
      </c>
      <c r="D26">
        <v>0.90272969399999903</v>
      </c>
      <c r="E26">
        <f>((D26-C26)/C26)*100</f>
        <v>1.6270627386097241</v>
      </c>
      <c r="F26">
        <v>307.41181195899998</v>
      </c>
      <c r="G26">
        <v>312.37620140299998</v>
      </c>
      <c r="H26">
        <f>((G26-F26)/F26)*100</f>
        <v>1.6148987289603935</v>
      </c>
      <c r="I26">
        <v>123.73415614699999</v>
      </c>
      <c r="J26">
        <v>123.873637485999</v>
      </c>
      <c r="K26">
        <f>((J26-I26)/I26)*100</f>
        <v>0.11272662564837529</v>
      </c>
      <c r="L26">
        <v>4.68142886199999</v>
      </c>
      <c r="M26">
        <v>4.6609189039999901</v>
      </c>
      <c r="N26">
        <f>((M26-L26)/L26)*100</f>
        <v>-0.43811320442104645</v>
      </c>
      <c r="O26">
        <v>12.158895369</v>
      </c>
      <c r="P26">
        <v>23.5119183669999</v>
      </c>
      <c r="Q26">
        <f>((P26-O26)/O26)*100</f>
        <v>93.372158024694158</v>
      </c>
      <c r="R26">
        <v>1.0414454820000001</v>
      </c>
      <c r="S26">
        <v>1.0566157819999999</v>
      </c>
      <c r="T26">
        <f>((S26-R26)/R26)*100</f>
        <v>1.456658102819429</v>
      </c>
      <c r="U26">
        <v>30.62262441</v>
      </c>
      <c r="V26">
        <v>41.806042761999997</v>
      </c>
      <c r="W26">
        <f>((V26-U26)/U26)*100</f>
        <v>36.520117290626416</v>
      </c>
      <c r="X26">
        <v>48.015490077000003</v>
      </c>
      <c r="Y26">
        <v>58.060852638999897</v>
      </c>
      <c r="Z26">
        <f>((Y26-X26)/X26)*100</f>
        <v>20.921087228081305</v>
      </c>
      <c r="AA26">
        <v>68.562016501999906</v>
      </c>
      <c r="AB26">
        <v>127.771955304</v>
      </c>
      <c r="AC26">
        <f>((AB26-AA26)/AA26)*100</f>
        <v>86.359681092916787</v>
      </c>
      <c r="AD26">
        <v>15.185615796999899</v>
      </c>
      <c r="AE26">
        <v>15.1408263679999</v>
      </c>
      <c r="AF26">
        <f>((AE26-AD26)/AD26)*100</f>
        <v>-0.29494641243885811</v>
      </c>
      <c r="AG26">
        <v>0.644625169</v>
      </c>
      <c r="AH26">
        <v>0.67240537600000005</v>
      </c>
      <c r="AI26">
        <f>((AH26-AG26)/AG26)*100</f>
        <v>4.3095132390029374</v>
      </c>
      <c r="AJ26">
        <v>0.899146636</v>
      </c>
      <c r="AK26">
        <v>5.0034779690000004</v>
      </c>
      <c r="AL26">
        <f>((AK26-AJ26)/AJ26)*100</f>
        <v>456.46963116703472</v>
      </c>
      <c r="AM26">
        <v>612.95377522800004</v>
      </c>
      <c r="AN26">
        <v>709.84278026300001</v>
      </c>
      <c r="AO26">
        <f>((AN26-AM26)/AM26)*100</f>
        <v>15.80690240450191</v>
      </c>
    </row>
    <row r="27" spans="1:41" x14ac:dyDescent="0.2">
      <c r="B27" t="s">
        <v>17</v>
      </c>
      <c r="C27">
        <f>((C26-C25)/C25)*100</f>
        <v>1.5264930240692764</v>
      </c>
      <c r="D27">
        <f>((D26-D25)/D25)*100</f>
        <v>1.2137442459610745E-2</v>
      </c>
      <c r="E27" s="3"/>
      <c r="F27">
        <f>((F26-F25)/F25)*100</f>
        <v>-0.7692677526691255</v>
      </c>
      <c r="G27">
        <f>((G26-G25)/G25)*100</f>
        <v>6.2548350531023172E-2</v>
      </c>
      <c r="H27" s="3"/>
      <c r="I27">
        <f>((I26-I25)/I25)*100</f>
        <v>2.2825770168212229</v>
      </c>
      <c r="J27">
        <f>((J26-J25)/J25)*100</f>
        <v>3.4198053421016623</v>
      </c>
      <c r="K27" s="3"/>
      <c r="L27">
        <f>((L26-L25)/L25)*100</f>
        <v>2.7482352566601151</v>
      </c>
      <c r="M27">
        <f>((M26-M25)/M25)*100</f>
        <v>0.93259192832635918</v>
      </c>
      <c r="N27" s="3"/>
      <c r="O27">
        <f>((O26-O25)/O25)*100</f>
        <v>-3.033857809693731</v>
      </c>
      <c r="P27">
        <f>((P26-P25)/P25)*100</f>
        <v>1.7508716440547623</v>
      </c>
      <c r="Q27" s="3"/>
      <c r="R27">
        <f>((R26-R25)/R25)*100</f>
        <v>5.8943038784451784E-2</v>
      </c>
      <c r="S27">
        <f>((S26-S25)/S25)*100</f>
        <v>-1.5103114797368733E-2</v>
      </c>
      <c r="T27" s="3"/>
      <c r="U27">
        <f>((U26-U25)/U25)*100</f>
        <v>-0.30917926770338372</v>
      </c>
      <c r="V27">
        <f>((V26-V25)/V25)*100</f>
        <v>2.8847596371535325</v>
      </c>
      <c r="W27" s="3"/>
      <c r="X27">
        <f>((X26-X25)/X25)*100</f>
        <v>-2.2822212958135188</v>
      </c>
      <c r="Y27">
        <f>((Y26-Y25)/Y25)*100</f>
        <v>0.47806583236525929</v>
      </c>
      <c r="Z27" s="3"/>
      <c r="AA27">
        <f>((AA26-AA25)/AA25)*100</f>
        <v>0.37018290442582169</v>
      </c>
      <c r="AB27">
        <f>((AB26-AB25)/AB25)*100</f>
        <v>0.72776501830931117</v>
      </c>
      <c r="AC27" s="3"/>
      <c r="AD27">
        <f>((AD26-AD25)/AD25)*100</f>
        <v>-3.1401269671556681E-2</v>
      </c>
      <c r="AE27">
        <f>((AE26-AE25)/AE25)*100</f>
        <v>1.0799399819861661</v>
      </c>
      <c r="AF27" s="3"/>
      <c r="AG27">
        <f>((AG26-AG25)/AG25)*100</f>
        <v>28.522884153210249</v>
      </c>
      <c r="AH27">
        <f>((AH26-AH25)/AH25)*100</f>
        <v>-1.3266129025506295E-2</v>
      </c>
      <c r="AI27" s="3"/>
      <c r="AJ27">
        <f>((AJ26-AJ25)/AJ25)*100</f>
        <v>-7.4686370839343441</v>
      </c>
      <c r="AK27">
        <f>((AK26-AK25)/AK25)*100</f>
        <v>0.11913032375825913</v>
      </c>
      <c r="AL27" s="3"/>
      <c r="AM27">
        <f>((AM26-AM25)/AM25)*100</f>
        <v>-0.1120723789714656</v>
      </c>
      <c r="AN27">
        <f>((AN26-AN25)/AN25)*100</f>
        <v>1.0352569045886768</v>
      </c>
      <c r="AO27" s="3"/>
    </row>
    <row r="28" spans="1:41" x14ac:dyDescent="0.2">
      <c r="B28" s="1"/>
    </row>
    <row r="30" spans="1:41" x14ac:dyDescent="0.2">
      <c r="A30" s="1" t="s">
        <v>0</v>
      </c>
      <c r="B30" s="1" t="s">
        <v>1</v>
      </c>
    </row>
    <row r="31" spans="1:41" x14ac:dyDescent="0.2">
      <c r="A31" t="s">
        <v>36</v>
      </c>
      <c r="B31" t="s">
        <v>41</v>
      </c>
      <c r="C31" s="6" t="s">
        <v>4</v>
      </c>
      <c r="D31" s="6"/>
      <c r="E31" s="6"/>
      <c r="F31" s="6" t="s">
        <v>5</v>
      </c>
      <c r="G31" s="6"/>
      <c r="H31" s="6"/>
      <c r="I31" s="6" t="s">
        <v>21</v>
      </c>
      <c r="J31" s="6"/>
      <c r="K31" s="6"/>
      <c r="L31" s="6" t="s">
        <v>22</v>
      </c>
      <c r="M31" s="6"/>
      <c r="N31" s="6"/>
      <c r="O31" s="6" t="s">
        <v>23</v>
      </c>
      <c r="P31" s="6"/>
      <c r="Q31" s="6"/>
      <c r="R31" s="6" t="s">
        <v>6</v>
      </c>
      <c r="S31" s="6"/>
      <c r="T31" s="6"/>
      <c r="U31" s="6" t="s">
        <v>7</v>
      </c>
      <c r="V31" s="6"/>
      <c r="W31" s="6"/>
      <c r="X31" s="6" t="s">
        <v>8</v>
      </c>
      <c r="Y31" s="6"/>
      <c r="Z31" s="6"/>
      <c r="AA31" s="6" t="s">
        <v>24</v>
      </c>
      <c r="AB31" s="6"/>
      <c r="AC31" s="6"/>
      <c r="AD31" s="6" t="s">
        <v>25</v>
      </c>
      <c r="AE31" s="6"/>
      <c r="AF31" s="6"/>
      <c r="AG31" s="6" t="s">
        <v>9</v>
      </c>
      <c r="AH31" s="6"/>
      <c r="AI31" s="6"/>
      <c r="AJ31" s="6" t="s">
        <v>10</v>
      </c>
      <c r="AK31" s="6"/>
      <c r="AL31" s="6"/>
      <c r="AM31" s="6" t="s">
        <v>11</v>
      </c>
      <c r="AN31" s="6"/>
      <c r="AO31" s="6"/>
    </row>
    <row r="32" spans="1:41" x14ac:dyDescent="0.2">
      <c r="A32" s="1" t="s">
        <v>39</v>
      </c>
      <c r="B32" s="4"/>
      <c r="C32" t="s">
        <v>42</v>
      </c>
      <c r="D32" t="s">
        <v>43</v>
      </c>
      <c r="E32" t="s">
        <v>17</v>
      </c>
      <c r="F32" t="s">
        <v>42</v>
      </c>
      <c r="G32" t="s">
        <v>43</v>
      </c>
      <c r="H32" t="s">
        <v>17</v>
      </c>
      <c r="I32" t="s">
        <v>42</v>
      </c>
      <c r="J32" t="s">
        <v>43</v>
      </c>
      <c r="K32" t="s">
        <v>17</v>
      </c>
      <c r="L32" t="s">
        <v>42</v>
      </c>
      <c r="M32" t="s">
        <v>43</v>
      </c>
      <c r="N32" t="s">
        <v>17</v>
      </c>
      <c r="O32" t="s">
        <v>42</v>
      </c>
      <c r="P32" t="s">
        <v>43</v>
      </c>
      <c r="Q32" t="s">
        <v>17</v>
      </c>
      <c r="R32" t="s">
        <v>42</v>
      </c>
      <c r="S32" t="s">
        <v>43</v>
      </c>
      <c r="T32" t="s">
        <v>17</v>
      </c>
      <c r="U32" t="s">
        <v>42</v>
      </c>
      <c r="V32" t="s">
        <v>43</v>
      </c>
      <c r="W32" t="s">
        <v>17</v>
      </c>
      <c r="X32" t="s">
        <v>42</v>
      </c>
      <c r="Y32" t="s">
        <v>43</v>
      </c>
      <c r="Z32" t="s">
        <v>17</v>
      </c>
      <c r="AA32" t="s">
        <v>42</v>
      </c>
      <c r="AB32" t="s">
        <v>43</v>
      </c>
      <c r="AC32" t="s">
        <v>17</v>
      </c>
      <c r="AD32" t="s">
        <v>42</v>
      </c>
      <c r="AE32" t="s">
        <v>43</v>
      </c>
      <c r="AF32" t="s">
        <v>17</v>
      </c>
      <c r="AG32" t="s">
        <v>42</v>
      </c>
      <c r="AH32" t="s">
        <v>43</v>
      </c>
      <c r="AI32" t="s">
        <v>17</v>
      </c>
      <c r="AJ32" t="s">
        <v>42</v>
      </c>
      <c r="AK32" t="s">
        <v>43</v>
      </c>
      <c r="AL32" t="s">
        <v>17</v>
      </c>
      <c r="AM32" t="s">
        <v>42</v>
      </c>
      <c r="AN32" t="s">
        <v>43</v>
      </c>
      <c r="AO32" t="s">
        <v>17</v>
      </c>
    </row>
    <row r="33" spans="1:41" x14ac:dyDescent="0.2">
      <c r="B33" s="1" t="s">
        <v>18</v>
      </c>
      <c r="C33">
        <v>8.9145253999999997E-3</v>
      </c>
      <c r="D33">
        <v>8.9005974999999994E-3</v>
      </c>
      <c r="E33">
        <f>((D33-C33)/C33)*100</f>
        <v>-0.15623826704223936</v>
      </c>
      <c r="F33">
        <v>2.1463010935</v>
      </c>
      <c r="G33">
        <v>2.1465519741999901</v>
      </c>
      <c r="H33">
        <f>((G33-F33)/F33)*100</f>
        <v>1.1688979740536589E-2</v>
      </c>
      <c r="I33">
        <v>1.0522653564</v>
      </c>
      <c r="J33">
        <v>1.0523212139</v>
      </c>
      <c r="K33">
        <f>((J33-I33)/I33)*100</f>
        <v>5.3083093214370382E-3</v>
      </c>
      <c r="L33">
        <v>2.87602816E-2</v>
      </c>
      <c r="M33">
        <v>2.8850172699999899E-2</v>
      </c>
      <c r="N33">
        <f>((M33-L33)/L33)*100</f>
        <v>0.31255292020471359</v>
      </c>
      <c r="O33">
        <v>0.3422291583</v>
      </c>
      <c r="P33">
        <v>0.31755838129999903</v>
      </c>
      <c r="Q33">
        <f>((P33-O33)/O33)*100</f>
        <v>-7.2088471720385776</v>
      </c>
      <c r="R33">
        <v>4.12929005E-2</v>
      </c>
      <c r="S33">
        <v>4.1012486399999999E-2</v>
      </c>
      <c r="T33">
        <f>((S33-R33)/R33)*100</f>
        <v>-0.67908550042397964</v>
      </c>
      <c r="U33">
        <v>0.215876553699999</v>
      </c>
      <c r="V33">
        <v>0.19508144699999999</v>
      </c>
      <c r="W33">
        <f>((V33-U33)/U33)*100</f>
        <v>-9.6328695004542801</v>
      </c>
      <c r="X33">
        <v>0.27388273569999899</v>
      </c>
      <c r="Y33">
        <v>0.2469172483</v>
      </c>
      <c r="Z33">
        <f>((Y33-X33)/X33)*100</f>
        <v>-9.8456324131127353</v>
      </c>
      <c r="AA33">
        <v>5.6564299338999904</v>
      </c>
      <c r="AB33">
        <v>5.3963911572999903</v>
      </c>
      <c r="AC33">
        <f>((AB33-AA33)/AA33)*100</f>
        <v>-4.5972243913345663</v>
      </c>
      <c r="AD33">
        <v>0.10454081950000001</v>
      </c>
      <c r="AE33">
        <v>0.104985744099999</v>
      </c>
      <c r="AF33">
        <f>((AE33-AD33)/AD33)*100</f>
        <v>0.42559892119364362</v>
      </c>
      <c r="AG33">
        <v>8.3324058999999992E-3</v>
      </c>
      <c r="AH33">
        <v>8.3611071999999901E-3</v>
      </c>
      <c r="AI33">
        <f>((AH33-AG33)/AG33)*100</f>
        <v>0.3444539349672211</v>
      </c>
      <c r="AJ33">
        <v>0.4117777836</v>
      </c>
      <c r="AK33">
        <v>0.41062974969999999</v>
      </c>
      <c r="AL33">
        <f>((AK33-AJ33)/AJ33)*100</f>
        <v>-0.27879937814110173</v>
      </c>
      <c r="AM33">
        <v>9.8847162262000001</v>
      </c>
      <c r="AN33">
        <v>9.5527357312000003</v>
      </c>
      <c r="AO33">
        <f>((AN33-AM33)/AM33)*100</f>
        <v>-3.3585232737391766</v>
      </c>
    </row>
    <row r="34" spans="1:41" x14ac:dyDescent="0.2">
      <c r="B34" s="1" t="s">
        <v>19</v>
      </c>
      <c r="C34">
        <v>8.8335710000000001E-3</v>
      </c>
      <c r="D34">
        <v>8.8869682999999904E-3</v>
      </c>
      <c r="E34">
        <f>((D34-C34)/C34)*100</f>
        <v>0.60448147187576007</v>
      </c>
      <c r="F34">
        <v>2.1442017583999999</v>
      </c>
      <c r="G34">
        <v>2.1444437103999898</v>
      </c>
      <c r="H34">
        <f>((G34-F34)/F34)*100</f>
        <v>1.1284012758688853E-2</v>
      </c>
      <c r="I34">
        <v>1.0508231553</v>
      </c>
      <c r="J34">
        <v>1.0508440887999999</v>
      </c>
      <c r="K34">
        <f>((J34-I34)/I34)*100</f>
        <v>1.9921049411876805E-3</v>
      </c>
      <c r="L34">
        <v>2.8902670799999901E-2</v>
      </c>
      <c r="M34">
        <v>2.8853625300000001E-2</v>
      </c>
      <c r="N34">
        <f>((M34-L34)/L34)*100</f>
        <v>-0.16969193033849428</v>
      </c>
      <c r="O34">
        <v>0.3420397684</v>
      </c>
      <c r="P34">
        <v>0.31747073809999898</v>
      </c>
      <c r="Q34">
        <f>((P34-O34)/O34)*100</f>
        <v>-7.1830917249565696</v>
      </c>
      <c r="R34">
        <v>4.0648675099999899E-2</v>
      </c>
      <c r="S34">
        <v>4.0600582099999998E-2</v>
      </c>
      <c r="T34">
        <f>((S34-R34)/R34)*100</f>
        <v>-0.11831381928583946</v>
      </c>
      <c r="U34">
        <v>0.21562917910000001</v>
      </c>
      <c r="V34">
        <v>0.19458587499999999</v>
      </c>
      <c r="W34">
        <f>((V34-U34)/U34)*100</f>
        <v>-9.7590243527481935</v>
      </c>
      <c r="X34">
        <v>0.273541621499999</v>
      </c>
      <c r="Y34">
        <v>0.24672603069999999</v>
      </c>
      <c r="Z34">
        <f>((Y34-X34)/X34)*100</f>
        <v>-9.803111735959023</v>
      </c>
      <c r="AA34">
        <v>5.6512286165999903</v>
      </c>
      <c r="AB34">
        <v>5.3932297972000001</v>
      </c>
      <c r="AC34">
        <f>((AB34-AA34)/AA34)*100</f>
        <v>-4.5653580292636065</v>
      </c>
      <c r="AD34">
        <v>0.1044586519</v>
      </c>
      <c r="AE34">
        <v>0.10501611899999901</v>
      </c>
      <c r="AF34">
        <f>((AE34-AD34)/AD34)*100</f>
        <v>0.53367250089793772</v>
      </c>
      <c r="AG34">
        <v>8.2863112999999895E-3</v>
      </c>
      <c r="AH34">
        <v>8.3697027999999896E-3</v>
      </c>
      <c r="AI34">
        <f>((AH34-AG34)/AG34)*100</f>
        <v>1.0063766250249397</v>
      </c>
      <c r="AJ34">
        <v>0.40873423069999998</v>
      </c>
      <c r="AK34">
        <v>0.410338453099999</v>
      </c>
      <c r="AL34">
        <f>((AK34-AJ34)/AJ34)*100</f>
        <v>0.3924854537511146</v>
      </c>
      <c r="AM34">
        <v>9.8744155062000001</v>
      </c>
      <c r="AN34">
        <v>9.5448431119999899</v>
      </c>
      <c r="AO34">
        <f>((AN34-AM34)/AM34)*100</f>
        <v>-3.337639518947491</v>
      </c>
    </row>
    <row r="35" spans="1:41" x14ac:dyDescent="0.2">
      <c r="B35" t="s">
        <v>17</v>
      </c>
      <c r="C35">
        <f>((C34-C33)/C33)*100</f>
        <v>-0.90811789038146151</v>
      </c>
      <c r="D35">
        <f>((D34-D33)/D33)*100</f>
        <v>-0.15312679850997629</v>
      </c>
      <c r="E35" s="3"/>
      <c r="F35">
        <f>((F34-F33)/F33)*100</f>
        <v>-9.7811770508704904E-2</v>
      </c>
      <c r="G35">
        <f>((G34-G33)/G33)*100</f>
        <v>-9.8216294100497037E-2</v>
      </c>
      <c r="H35" s="3"/>
      <c r="I35">
        <f>((I34-I33)/I33)*100</f>
        <v>-0.13705678812176936</v>
      </c>
      <c r="J35">
        <f>((J34-J33)/J33)*100</f>
        <v>-0.14036827163501958</v>
      </c>
      <c r="K35" s="3"/>
      <c r="L35">
        <f>((L34-L33)/L33)*100</f>
        <v>0.49508972818924607</v>
      </c>
      <c r="M35">
        <f>((M34-M33)/M33)*100</f>
        <v>1.1967346039847823E-2</v>
      </c>
      <c r="N35" s="3"/>
      <c r="O35">
        <f>((O34-O33)/O33)*100</f>
        <v>-5.5340082925950732E-2</v>
      </c>
      <c r="P35">
        <f>((P34-P33)/P33)*100</f>
        <v>-2.7599082613173322E-2</v>
      </c>
      <c r="Q35" s="3"/>
      <c r="R35">
        <f>((R34-R33)/R33)*100</f>
        <v>-1.5601359851195262</v>
      </c>
      <c r="S35">
        <f>((S34-S33)/S33)*100</f>
        <v>-1.0043387664494334</v>
      </c>
      <c r="T35" s="3"/>
      <c r="U35">
        <f>((U34-U33)/U33)*100</f>
        <v>-0.1145907676211855</v>
      </c>
      <c r="V35">
        <f>((V34-V33)/V33)*100</f>
        <v>-0.25403338329759251</v>
      </c>
      <c r="W35" s="3"/>
      <c r="X35">
        <f>((X34-X33)/X33)*100</f>
        <v>-0.12454753642217016</v>
      </c>
      <c r="Y35">
        <f>((Y34-Y33)/Y33)*100</f>
        <v>-7.744197755180289E-2</v>
      </c>
      <c r="Z35" s="3"/>
      <c r="AA35">
        <f>((AA34-AA33)/AA33)*100</f>
        <v>-9.1954065740788973E-2</v>
      </c>
      <c r="AB35">
        <f>((AB34-AB33)/AB33)*100</f>
        <v>-5.8582856724789072E-2</v>
      </c>
      <c r="AC35" s="3"/>
      <c r="AD35">
        <f>((AD34-AD33)/AD33)*100</f>
        <v>-7.8598580337321838E-2</v>
      </c>
      <c r="AE35">
        <f>((AE34-AE33)/AE33)*100</f>
        <v>2.8932404356797854E-2</v>
      </c>
      <c r="AF35" s="3"/>
      <c r="AG35">
        <f>((AG34-AG33)/AG33)*100</f>
        <v>-0.55319676637464033</v>
      </c>
      <c r="AH35">
        <f>((AH34-AH33)/AH33)*100</f>
        <v>0.1028045663617311</v>
      </c>
      <c r="AI35" s="3"/>
      <c r="AJ35">
        <f>((AJ34-AJ33)/AJ33)*100</f>
        <v>-0.73912508668911681</v>
      </c>
      <c r="AK35">
        <f>((AK34-AK33)/AK33)*100</f>
        <v>-7.0938990712145614E-2</v>
      </c>
      <c r="AL35" s="3"/>
      <c r="AM35">
        <f>((AM34-AM33)/AM33)*100</f>
        <v>-0.10420855555465922</v>
      </c>
      <c r="AN35">
        <f>((AN34-AN33)/AN33)*100</f>
        <v>-8.2621559122927055E-2</v>
      </c>
      <c r="AO35" s="3"/>
    </row>
    <row r="37" spans="1:41" x14ac:dyDescent="0.2">
      <c r="A37" s="1" t="s">
        <v>40</v>
      </c>
      <c r="C37" t="s">
        <v>42</v>
      </c>
      <c r="D37" t="s">
        <v>43</v>
      </c>
      <c r="E37" t="s">
        <v>17</v>
      </c>
      <c r="F37" t="s">
        <v>42</v>
      </c>
      <c r="G37" t="s">
        <v>43</v>
      </c>
      <c r="H37" t="s">
        <v>17</v>
      </c>
      <c r="I37" t="s">
        <v>42</v>
      </c>
      <c r="J37" t="s">
        <v>43</v>
      </c>
      <c r="K37" t="s">
        <v>17</v>
      </c>
      <c r="L37" t="s">
        <v>42</v>
      </c>
      <c r="M37" t="s">
        <v>43</v>
      </c>
      <c r="N37" t="s">
        <v>17</v>
      </c>
      <c r="O37" t="s">
        <v>42</v>
      </c>
      <c r="P37" t="s">
        <v>43</v>
      </c>
      <c r="Q37" t="s">
        <v>17</v>
      </c>
      <c r="R37" t="s">
        <v>42</v>
      </c>
      <c r="S37" t="s">
        <v>43</v>
      </c>
      <c r="T37" t="s">
        <v>17</v>
      </c>
      <c r="U37" t="s">
        <v>42</v>
      </c>
      <c r="V37" t="s">
        <v>43</v>
      </c>
      <c r="W37" t="s">
        <v>17</v>
      </c>
      <c r="X37" t="s">
        <v>42</v>
      </c>
      <c r="Y37" t="s">
        <v>43</v>
      </c>
      <c r="Z37" t="s">
        <v>17</v>
      </c>
      <c r="AA37" t="s">
        <v>42</v>
      </c>
      <c r="AB37" t="s">
        <v>43</v>
      </c>
      <c r="AC37" t="s">
        <v>17</v>
      </c>
      <c r="AD37" t="s">
        <v>42</v>
      </c>
      <c r="AE37" t="s">
        <v>43</v>
      </c>
      <c r="AF37" t="s">
        <v>17</v>
      </c>
      <c r="AG37" t="s">
        <v>42</v>
      </c>
      <c r="AH37" t="s">
        <v>43</v>
      </c>
      <c r="AI37" t="s">
        <v>17</v>
      </c>
      <c r="AJ37" t="s">
        <v>42</v>
      </c>
      <c r="AK37" t="s">
        <v>43</v>
      </c>
      <c r="AL37" t="s">
        <v>17</v>
      </c>
      <c r="AM37" t="s">
        <v>42</v>
      </c>
      <c r="AN37" t="s">
        <v>43</v>
      </c>
      <c r="AO37" t="s">
        <v>17</v>
      </c>
    </row>
    <row r="38" spans="1:41" x14ac:dyDescent="0.2">
      <c r="B38" s="1" t="s">
        <v>18</v>
      </c>
      <c r="C38">
        <v>0.90262013899999904</v>
      </c>
      <c r="D38">
        <v>0.89595178999999903</v>
      </c>
      <c r="E38">
        <f>((D38-C38)/C38)*100</f>
        <v>-0.7387768909508039</v>
      </c>
      <c r="F38">
        <v>312.18093737599901</v>
      </c>
      <c r="G38">
        <v>311.56865202999899</v>
      </c>
      <c r="H38">
        <f>((G38-F38)/F38)*100</f>
        <v>-0.1961315611217378</v>
      </c>
      <c r="I38">
        <v>119.777480799</v>
      </c>
      <c r="J38">
        <v>121.840088119</v>
      </c>
      <c r="K38">
        <f>((J38-I38)/I38)*100</f>
        <v>1.7220326444010652</v>
      </c>
      <c r="L38">
        <v>4.6178531779999998</v>
      </c>
      <c r="M38">
        <v>4.7114441809999903</v>
      </c>
      <c r="N38">
        <f>((M38-L38)/L38)*100</f>
        <v>2.0267210626329373</v>
      </c>
      <c r="O38">
        <v>23.1073385289999</v>
      </c>
      <c r="P38">
        <v>19.377784785999999</v>
      </c>
      <c r="Q38">
        <f>((P38-O38)/O38)*100</f>
        <v>-16.14012681866966</v>
      </c>
      <c r="R38">
        <v>1.0567753879999999</v>
      </c>
      <c r="S38">
        <v>1.3502938959999999</v>
      </c>
      <c r="T38">
        <f>((S38-R38)/R38)*100</f>
        <v>27.774918997261889</v>
      </c>
      <c r="U38">
        <v>40.63385375</v>
      </c>
      <c r="V38">
        <v>35.930765432999998</v>
      </c>
      <c r="W38">
        <f>((V38-U38)/U38)*100</f>
        <v>-11.574310292929088</v>
      </c>
      <c r="X38">
        <v>57.784604190000003</v>
      </c>
      <c r="Y38">
        <v>55.701700824999897</v>
      </c>
      <c r="Z38">
        <f>((Y38-X38)/X38)*100</f>
        <v>-3.6045991734257932</v>
      </c>
      <c r="AA38">
        <v>126.848794154</v>
      </c>
      <c r="AB38">
        <v>108.160687598</v>
      </c>
      <c r="AC38">
        <f>((AB38-AA38)/AA38)*100</f>
        <v>-14.732585107046289</v>
      </c>
      <c r="AD38">
        <v>14.9790614939999</v>
      </c>
      <c r="AE38">
        <v>15.346191652999901</v>
      </c>
      <c r="AF38">
        <f>((AE38-AD38)/AD38)*100</f>
        <v>2.4509556833521247</v>
      </c>
      <c r="AG38">
        <v>0.672494589999999</v>
      </c>
      <c r="AH38">
        <v>0.66524872899999998</v>
      </c>
      <c r="AI38">
        <f>((AH38-AG38)/AG38)*100</f>
        <v>-1.0774601175600582</v>
      </c>
      <c r="AJ38">
        <v>4.9975244019999998</v>
      </c>
      <c r="AK38">
        <v>4.9884036399999996</v>
      </c>
      <c r="AL38">
        <f>((AK38-AJ38)/AJ38)*100</f>
        <v>-0.1825056021007144</v>
      </c>
      <c r="AM38">
        <v>702.56938222400004</v>
      </c>
      <c r="AN38">
        <v>675.55600854900001</v>
      </c>
      <c r="AO38">
        <f>((AN38-AM38)/AM38)*100</f>
        <v>-3.8449403515832912</v>
      </c>
    </row>
    <row r="39" spans="1:41" x14ac:dyDescent="0.2">
      <c r="B39" s="1" t="s">
        <v>19</v>
      </c>
      <c r="C39">
        <v>0.90272969399999903</v>
      </c>
      <c r="D39">
        <v>0.89593737699999898</v>
      </c>
      <c r="E39">
        <f>((D39-C39)/C39)*100</f>
        <v>-0.75241980463756131</v>
      </c>
      <c r="F39">
        <v>312.37620140299998</v>
      </c>
      <c r="G39">
        <v>310.05541433699898</v>
      </c>
      <c r="H39">
        <f>((G39-F39)/F39)*100</f>
        <v>-0.74294618334478368</v>
      </c>
      <c r="I39">
        <v>123.873637485999</v>
      </c>
      <c r="J39">
        <v>121.80939752699901</v>
      </c>
      <c r="K39">
        <f>((J39-I39)/I39)*100</f>
        <v>-1.6664078014446817</v>
      </c>
      <c r="L39">
        <v>4.6609189039999901</v>
      </c>
      <c r="M39">
        <v>4.6110543669999897</v>
      </c>
      <c r="N39">
        <f>((M39-L39)/L39)*100</f>
        <v>-1.069843479945698</v>
      </c>
      <c r="O39">
        <v>23.5119183669999</v>
      </c>
      <c r="P39">
        <v>18.930124849999899</v>
      </c>
      <c r="Q39">
        <f>((P39-O39)/O39)*100</f>
        <v>-19.487110517663105</v>
      </c>
      <c r="R39">
        <v>1.0566157819999999</v>
      </c>
      <c r="S39">
        <v>1.3435160899999901</v>
      </c>
      <c r="T39">
        <f>((S39-R39)/R39)*100</f>
        <v>27.152756270300543</v>
      </c>
      <c r="U39">
        <v>41.806042761999997</v>
      </c>
      <c r="V39">
        <v>35.641395908</v>
      </c>
      <c r="W39">
        <f>((V39-U39)/U39)*100</f>
        <v>-14.745827269744391</v>
      </c>
      <c r="X39">
        <v>58.060852638999897</v>
      </c>
      <c r="Y39">
        <v>55.5984575089999</v>
      </c>
      <c r="Z39">
        <f>((Y39-X39)/X39)*100</f>
        <v>-4.2410591957893304</v>
      </c>
      <c r="AA39">
        <v>127.771955304</v>
      </c>
      <c r="AB39">
        <v>108.340595291</v>
      </c>
      <c r="AC39">
        <f>((AB39-AA39)/AA39)*100</f>
        <v>-15.207844293192629</v>
      </c>
      <c r="AD39">
        <v>15.1408263679999</v>
      </c>
      <c r="AE39">
        <v>15.041910828000001</v>
      </c>
      <c r="AF39">
        <f>((AE39-AD39)/AD39)*100</f>
        <v>-0.6533034432582665</v>
      </c>
      <c r="AG39">
        <v>0.67240537600000005</v>
      </c>
      <c r="AH39">
        <v>0.66550119900000004</v>
      </c>
      <c r="AI39">
        <f>((AH39-AG39)/AG39)*100</f>
        <v>-1.0267878940932218</v>
      </c>
      <c r="AJ39">
        <v>5.0034779690000004</v>
      </c>
      <c r="AK39">
        <v>4.996426885</v>
      </c>
      <c r="AL39">
        <f>((AK39-AJ39)/AJ39)*100</f>
        <v>-0.14092365437974869</v>
      </c>
      <c r="AM39">
        <v>709.84278026300001</v>
      </c>
      <c r="AN39">
        <v>672.94049434700003</v>
      </c>
      <c r="AO39">
        <f>((AN39-AM39)/AM39)*100</f>
        <v>-5.1986562295283916</v>
      </c>
    </row>
    <row r="40" spans="1:41" x14ac:dyDescent="0.2">
      <c r="B40" t="s">
        <v>17</v>
      </c>
      <c r="C40">
        <f>((C39-C38)/C38)*100</f>
        <v>1.2137442459610745E-2</v>
      </c>
      <c r="D40">
        <f>((D39-D38)/D38)*100</f>
        <v>-1.6086803063417544E-3</v>
      </c>
      <c r="E40" s="3"/>
      <c r="F40">
        <f>((F39-F38)/F38)*100</f>
        <v>6.2548350531023172E-2</v>
      </c>
      <c r="G40">
        <f>((G39-G38)/G38)*100</f>
        <v>-0.48568355100573718</v>
      </c>
      <c r="H40" s="3"/>
      <c r="I40">
        <f>((I39-I38)/I38)*100</f>
        <v>3.4198053421016623</v>
      </c>
      <c r="J40">
        <f>((J39-J38)/J38)*100</f>
        <v>-2.518923982640155E-2</v>
      </c>
      <c r="K40" s="3"/>
      <c r="L40">
        <f>((L39-L38)/L38)*100</f>
        <v>0.93259192832635918</v>
      </c>
      <c r="M40">
        <f>((M39-M38)/M38)*100</f>
        <v>-2.1307652206694114</v>
      </c>
      <c r="N40" s="3"/>
      <c r="O40">
        <f>((O39-O38)/O38)*100</f>
        <v>1.7508716440547623</v>
      </c>
      <c r="P40">
        <f>((P39-P38)/P38)*100</f>
        <v>-2.3101708525709514</v>
      </c>
      <c r="Q40" s="3"/>
      <c r="R40">
        <f>((R39-R38)/R38)*100</f>
        <v>-1.5103114797368733E-2</v>
      </c>
      <c r="S40">
        <f>((S39-S38)/S38)*100</f>
        <v>-0.50195042872428708</v>
      </c>
      <c r="T40" s="3"/>
      <c r="U40">
        <f>((U39-U38)/U38)*100</f>
        <v>2.8847596371535325</v>
      </c>
      <c r="V40">
        <f>((V39-V38)/V38)*100</f>
        <v>-0.80535307698797709</v>
      </c>
      <c r="W40" s="3"/>
      <c r="X40">
        <f>((X39-X38)/X38)*100</f>
        <v>0.47806583236525929</v>
      </c>
      <c r="Y40">
        <f>((Y39-Y38)/Y38)*100</f>
        <v>-0.18535038332915574</v>
      </c>
      <c r="Z40" s="3"/>
      <c r="AA40">
        <f>((AA39-AA38)/AA38)*100</f>
        <v>0.72776501830931117</v>
      </c>
      <c r="AB40">
        <f>((AB39-AB38)/AB38)*100</f>
        <v>0.1663337179111376</v>
      </c>
      <c r="AC40" s="3"/>
      <c r="AD40">
        <f>((AD39-AD38)/AD38)*100</f>
        <v>1.0799399819861661</v>
      </c>
      <c r="AE40">
        <f>((AE39-AE38)/AE38)*100</f>
        <v>-1.9827774335166632</v>
      </c>
      <c r="AF40" s="3"/>
      <c r="AG40">
        <f>((AG39-AG38)/AG38)*100</f>
        <v>-1.3266129025506295E-2</v>
      </c>
      <c r="AH40">
        <f>((AH39-AH38)/AH38)*100</f>
        <v>3.7951218693731643E-2</v>
      </c>
      <c r="AI40" s="3"/>
      <c r="AJ40">
        <f>((AJ39-AJ38)/AJ38)*100</f>
        <v>0.11913032375825913</v>
      </c>
      <c r="AK40">
        <f>((AK39-AK38)/AK38)*100</f>
        <v>0.16083792690040619</v>
      </c>
      <c r="AL40" s="3"/>
      <c r="AM40">
        <f>((AM39-AM38)/AM38)*100</f>
        <v>1.0352569045886768</v>
      </c>
      <c r="AN40">
        <f>((AN39-AN38)/AN38)*100</f>
        <v>-0.38716467160402362</v>
      </c>
      <c r="AO40" s="3"/>
    </row>
    <row r="43" spans="1:41" x14ac:dyDescent="0.2">
      <c r="A43" s="1" t="s">
        <v>0</v>
      </c>
      <c r="B43" s="1" t="s">
        <v>1</v>
      </c>
    </row>
    <row r="44" spans="1:41" x14ac:dyDescent="0.2">
      <c r="A44" t="s">
        <v>45</v>
      </c>
      <c r="B44" t="s">
        <v>46</v>
      </c>
      <c r="C44" s="6" t="s">
        <v>4</v>
      </c>
      <c r="D44" s="6"/>
      <c r="E44" s="6"/>
      <c r="F44" s="6" t="s">
        <v>5</v>
      </c>
      <c r="G44" s="6"/>
      <c r="H44" s="6"/>
      <c r="I44" s="6" t="s">
        <v>21</v>
      </c>
      <c r="J44" s="6"/>
      <c r="K44" s="6"/>
      <c r="L44" s="6" t="s">
        <v>22</v>
      </c>
      <c r="M44" s="6"/>
      <c r="N44" s="6"/>
      <c r="O44" s="6" t="s">
        <v>23</v>
      </c>
      <c r="P44" s="6"/>
      <c r="Q44" s="6"/>
      <c r="R44" s="6" t="s">
        <v>6</v>
      </c>
      <c r="S44" s="6"/>
      <c r="T44" s="6"/>
      <c r="U44" s="6" t="s">
        <v>7</v>
      </c>
      <c r="V44" s="6"/>
      <c r="W44" s="6"/>
      <c r="X44" s="6" t="s">
        <v>8</v>
      </c>
      <c r="Y44" s="6"/>
      <c r="Z44" s="6"/>
      <c r="AA44" s="6" t="s">
        <v>24</v>
      </c>
      <c r="AB44" s="6"/>
      <c r="AC44" s="6"/>
      <c r="AD44" s="6" t="s">
        <v>25</v>
      </c>
      <c r="AE44" s="6"/>
      <c r="AF44" s="6"/>
      <c r="AG44" s="6" t="s">
        <v>9</v>
      </c>
      <c r="AH44" s="6"/>
      <c r="AI44" s="6"/>
      <c r="AJ44" s="6" t="s">
        <v>10</v>
      </c>
      <c r="AK44" s="6"/>
      <c r="AL44" s="6"/>
      <c r="AM44" s="6" t="s">
        <v>11</v>
      </c>
      <c r="AN44" s="6"/>
      <c r="AO44" s="6"/>
    </row>
    <row r="45" spans="1:41" x14ac:dyDescent="0.2">
      <c r="A45" s="1" t="s">
        <v>39</v>
      </c>
      <c r="C45" t="s">
        <v>42</v>
      </c>
      <c r="D45" t="s">
        <v>43</v>
      </c>
      <c r="E45" t="s">
        <v>17</v>
      </c>
      <c r="F45" t="s">
        <v>42</v>
      </c>
      <c r="G45" t="s">
        <v>43</v>
      </c>
      <c r="H45" t="s">
        <v>17</v>
      </c>
      <c r="I45" t="s">
        <v>42</v>
      </c>
      <c r="J45" t="s">
        <v>43</v>
      </c>
      <c r="K45" t="s">
        <v>17</v>
      </c>
      <c r="L45" t="s">
        <v>42</v>
      </c>
      <c r="M45" t="s">
        <v>43</v>
      </c>
      <c r="N45" t="s">
        <v>17</v>
      </c>
      <c r="O45" t="s">
        <v>42</v>
      </c>
      <c r="P45" t="s">
        <v>43</v>
      </c>
      <c r="Q45" t="s">
        <v>17</v>
      </c>
      <c r="R45" t="s">
        <v>42</v>
      </c>
      <c r="S45" t="s">
        <v>43</v>
      </c>
      <c r="T45" t="s">
        <v>17</v>
      </c>
      <c r="U45" t="s">
        <v>42</v>
      </c>
      <c r="V45" t="s">
        <v>43</v>
      </c>
      <c r="W45" t="s">
        <v>17</v>
      </c>
      <c r="X45" t="s">
        <v>42</v>
      </c>
      <c r="Y45" t="s">
        <v>43</v>
      </c>
      <c r="Z45" t="s">
        <v>17</v>
      </c>
      <c r="AA45" t="s">
        <v>42</v>
      </c>
      <c r="AB45" t="s">
        <v>43</v>
      </c>
      <c r="AC45" t="s">
        <v>17</v>
      </c>
      <c r="AD45" t="s">
        <v>42</v>
      </c>
      <c r="AE45" t="s">
        <v>43</v>
      </c>
      <c r="AF45" t="s">
        <v>17</v>
      </c>
      <c r="AG45" t="s">
        <v>42</v>
      </c>
      <c r="AH45" t="s">
        <v>43</v>
      </c>
      <c r="AI45" t="s">
        <v>17</v>
      </c>
      <c r="AJ45" t="s">
        <v>42</v>
      </c>
      <c r="AK45" t="s">
        <v>43</v>
      </c>
      <c r="AL45" t="s">
        <v>17</v>
      </c>
      <c r="AM45" t="s">
        <v>42</v>
      </c>
      <c r="AN45" t="s">
        <v>43</v>
      </c>
      <c r="AO45" t="s">
        <v>17</v>
      </c>
    </row>
    <row r="46" spans="1:41" x14ac:dyDescent="0.2">
      <c r="B46" s="1" t="s">
        <v>18</v>
      </c>
      <c r="C46">
        <v>8.9145253999999997E-3</v>
      </c>
      <c r="D46">
        <v>8.4946566000000008E-3</v>
      </c>
      <c r="E46">
        <f>((D46-C46)/C46)*100</f>
        <v>-4.709940026644591</v>
      </c>
      <c r="F46">
        <v>2.1463010935</v>
      </c>
      <c r="G46">
        <v>2.1443751724000002</v>
      </c>
      <c r="H46">
        <f>((G46-F46)/F46)*100</f>
        <v>-8.9732102631470023E-2</v>
      </c>
      <c r="I46">
        <v>1.0522653564</v>
      </c>
      <c r="J46">
        <v>1.0481660617999999</v>
      </c>
      <c r="K46">
        <f>((J46-I46)/I46)*100</f>
        <v>-0.38956852233779626</v>
      </c>
      <c r="L46">
        <v>2.87602816E-2</v>
      </c>
      <c r="M46">
        <v>2.84799278999999E-2</v>
      </c>
      <c r="N46">
        <f>((M46-L46)/L46)*100</f>
        <v>-0.97479469742083502</v>
      </c>
      <c r="O46">
        <v>0.3422291583</v>
      </c>
      <c r="P46">
        <v>0.25680794130000001</v>
      </c>
      <c r="Q46">
        <f>((P46-O46)/O46)*100</f>
        <v>-24.960239339138742</v>
      </c>
      <c r="R46">
        <v>4.12929005E-2</v>
      </c>
      <c r="S46">
        <v>3.6558136200000001E-2</v>
      </c>
      <c r="T46">
        <f>((S46-R46)/R46)*100</f>
        <v>-11.466291402804217</v>
      </c>
      <c r="U46">
        <v>0.215876553699999</v>
      </c>
      <c r="V46">
        <v>0.2083856748</v>
      </c>
      <c r="W46">
        <f>((V46-U46)/U46)*100</f>
        <v>-3.4699826227580881</v>
      </c>
      <c r="X46">
        <v>0.27388273569999899</v>
      </c>
      <c r="Y46">
        <v>0.26245817490000001</v>
      </c>
      <c r="Z46">
        <f>((Y46-X46)/X46)*100</f>
        <v>-4.171332950505148</v>
      </c>
      <c r="AA46">
        <v>5.6564299338999904</v>
      </c>
      <c r="AB46">
        <v>1.1665804286999999</v>
      </c>
      <c r="AC46">
        <f>((AB46-AA46)/AA46)*100</f>
        <v>-79.376029716049771</v>
      </c>
      <c r="AD46">
        <v>0.10454081950000001</v>
      </c>
      <c r="AE46">
        <v>0.1041740504</v>
      </c>
      <c r="AF46">
        <f>((AE46-AD46)/AD46)*100</f>
        <v>-0.35083817187793437</v>
      </c>
      <c r="AG46">
        <v>8.3324058999999992E-3</v>
      </c>
      <c r="AH46">
        <v>8.0007979999999895E-3</v>
      </c>
      <c r="AI46">
        <f>((AH46-AG46)/AG46)*100</f>
        <v>-3.9797377129696687</v>
      </c>
      <c r="AJ46">
        <v>0.4117777836</v>
      </c>
      <c r="AK46">
        <v>0.41009112109999901</v>
      </c>
      <c r="AL46">
        <f>((AK46-AJ46)/AJ46)*100</f>
        <v>-0.40960502658866377</v>
      </c>
      <c r="AM46">
        <v>9.8847162262000001</v>
      </c>
      <c r="AN46">
        <v>5.2776981935</v>
      </c>
      <c r="AO46">
        <f>((AN46-AM46)/AM46)*100</f>
        <v>-46.60748904949682</v>
      </c>
    </row>
    <row r="47" spans="1:41" x14ac:dyDescent="0.2">
      <c r="B47" s="1" t="s">
        <v>19</v>
      </c>
      <c r="C47">
        <v>8.8335710000000001E-3</v>
      </c>
      <c r="D47" s="7">
        <v>8.4913699999999998E-3</v>
      </c>
      <c r="E47">
        <f>((D47-C47)/C47)*100</f>
        <v>-3.873869355892428</v>
      </c>
      <c r="F47">
        <v>2.1442017583999999</v>
      </c>
      <c r="G47" s="7">
        <v>2.1439587000000002</v>
      </c>
      <c r="H47">
        <f>((G47-F47)/F47)*100</f>
        <v>-1.1335612381042354E-2</v>
      </c>
      <c r="I47">
        <v>1.0508231553</v>
      </c>
      <c r="J47" s="7">
        <v>1.04776095</v>
      </c>
      <c r="K47">
        <f>((J47-I47)/I47)*100</f>
        <v>-0.29141014685061623</v>
      </c>
      <c r="L47">
        <v>2.8902670799999901E-2</v>
      </c>
      <c r="M47" s="7">
        <v>2.843683E-2</v>
      </c>
      <c r="N47">
        <f>((M47-L47)/L47)*100</f>
        <v>-1.6117569314732787</v>
      </c>
      <c r="O47">
        <v>0.3420397684</v>
      </c>
      <c r="P47" s="7">
        <v>0.25679412000000001</v>
      </c>
      <c r="Q47">
        <f>((P47-O47)/O47)*100</f>
        <v>-24.922730125436484</v>
      </c>
      <c r="R47">
        <v>4.0648675099999899E-2</v>
      </c>
      <c r="S47" s="7">
        <v>3.6191229999999998E-2</v>
      </c>
      <c r="T47">
        <f>((S47-R47)/R47)*100</f>
        <v>-10.96578200650853</v>
      </c>
      <c r="U47">
        <v>0.21562917910000001</v>
      </c>
      <c r="V47" s="7">
        <v>0.20814885999999999</v>
      </c>
      <c r="W47">
        <f>((V47-U47)/U47)*100</f>
        <v>-3.469066260522633</v>
      </c>
      <c r="X47">
        <v>0.273541621499999</v>
      </c>
      <c r="Y47" s="7">
        <v>0.26242494</v>
      </c>
      <c r="Z47">
        <f>((Y47-X47)/X47)*100</f>
        <v>-4.0639817220645682</v>
      </c>
      <c r="AA47">
        <v>5.6512286165999903</v>
      </c>
      <c r="AB47" s="7">
        <v>1.16605878</v>
      </c>
      <c r="AC47">
        <f>((AB47-AA47)/AA47)*100</f>
        <v>-79.366278395200567</v>
      </c>
      <c r="AD47">
        <v>0.1044586519</v>
      </c>
      <c r="AE47" s="7">
        <v>0.10404721</v>
      </c>
      <c r="AF47">
        <f>((AE47-AD47)/AD47)*100</f>
        <v>-0.39388015498599749</v>
      </c>
      <c r="AG47">
        <v>8.2863112999999895E-3</v>
      </c>
      <c r="AH47" s="7">
        <v>8.0046500000000003E-3</v>
      </c>
      <c r="AI47">
        <f>((AH47-AG47)/AG47)*100</f>
        <v>-3.399115599241239</v>
      </c>
      <c r="AJ47">
        <v>0.40873423069999998</v>
      </c>
      <c r="AK47" s="7">
        <v>0.40958930999999998</v>
      </c>
      <c r="AL47">
        <f>((AK47-AJ47)/AJ47)*100</f>
        <v>0.20920178340228399</v>
      </c>
      <c r="AM47">
        <v>9.8744155062000001</v>
      </c>
      <c r="AN47" s="7">
        <v>5.2754819900000003</v>
      </c>
      <c r="AO47">
        <f>((AN47-AM47)/AM47)*100</f>
        <v>-46.574235338915983</v>
      </c>
    </row>
    <row r="48" spans="1:41" x14ac:dyDescent="0.2">
      <c r="B48" t="s">
        <v>17</v>
      </c>
      <c r="C48">
        <f>((C47-C46)/C46)*100</f>
        <v>-0.90811789038146151</v>
      </c>
      <c r="D48">
        <f>((D47-D46)/D46)*100</f>
        <v>-3.8690204380963274E-2</v>
      </c>
      <c r="E48" s="3"/>
      <c r="F48">
        <f>((F47-F46)/F46)*100</f>
        <v>-9.7811770508704904E-2</v>
      </c>
      <c r="G48">
        <f>((G47-G46)/G46)*100</f>
        <v>-1.942162012321098E-2</v>
      </c>
      <c r="H48" s="3"/>
      <c r="I48">
        <f>((I47-I46)/I46)*100</f>
        <v>-0.13705678812176936</v>
      </c>
      <c r="J48">
        <f>((J47-J46)/J46)*100</f>
        <v>-3.8649581851965403E-2</v>
      </c>
      <c r="K48" s="3"/>
      <c r="L48">
        <f>((L47-L46)/L46)*100</f>
        <v>0.49508972818924607</v>
      </c>
      <c r="M48">
        <f>((M47-M46)/M46)*100</f>
        <v>-0.15132727916737471</v>
      </c>
      <c r="N48" s="3"/>
      <c r="O48">
        <f>((O47-O46)/O46)*100</f>
        <v>-5.5340082925950732E-2</v>
      </c>
      <c r="P48">
        <f>((P47-P46)/P46)*100</f>
        <v>-5.3819597361470933E-3</v>
      </c>
      <c r="Q48" s="3"/>
      <c r="R48">
        <f>((R47-R46)/R46)*100</f>
        <v>-1.5601359851195262</v>
      </c>
      <c r="S48">
        <f>((S47-S46)/S46)*100</f>
        <v>-1.0036239210685003</v>
      </c>
      <c r="T48" s="3"/>
      <c r="U48">
        <f>((U47-U46)/U46)*100</f>
        <v>-0.1145907676211855</v>
      </c>
      <c r="V48">
        <f>((V47-V46)/V46)*100</f>
        <v>-0.11364255255419915</v>
      </c>
      <c r="W48" s="3"/>
      <c r="X48">
        <f>((X47-X46)/X46)*100</f>
        <v>-0.12454753642217016</v>
      </c>
      <c r="Y48">
        <f>((Y47-Y46)/Y46)*100</f>
        <v>-1.2662931917695072E-2</v>
      </c>
      <c r="Z48" s="3"/>
      <c r="AA48">
        <f>((AA47-AA46)/AA46)*100</f>
        <v>-9.1954065740788973E-2</v>
      </c>
      <c r="AB48">
        <f>((AB47-AB46)/AB46)*100</f>
        <v>-4.4716051046839636E-2</v>
      </c>
      <c r="AC48" s="3"/>
      <c r="AD48">
        <f>((AD47-AD46)/AD46)*100</f>
        <v>-7.8598580337321838E-2</v>
      </c>
      <c r="AE48">
        <f>((AE47-AE46)/AE46)*100</f>
        <v>-0.1217581533145365</v>
      </c>
      <c r="AF48" s="3"/>
      <c r="AG48">
        <f>((AG47-AG46)/AG46)*100</f>
        <v>-0.55319676637464033</v>
      </c>
      <c r="AH48">
        <f>((AH47-AH46)/AH46)*100</f>
        <v>4.8145197516682496E-2</v>
      </c>
      <c r="AI48" s="3"/>
      <c r="AJ48">
        <f>((AJ47-AJ46)/AJ46)*100</f>
        <v>-0.73912508668911681</v>
      </c>
      <c r="AK48">
        <f>((AK47-AK46)/AK46)*100</f>
        <v>-0.12236575584787246</v>
      </c>
      <c r="AL48" s="3"/>
      <c r="AM48">
        <f>((AM47-AM46)/AM46)*100</f>
        <v>-0.10420855555465922</v>
      </c>
      <c r="AN48">
        <f>((AN47-AN46)/AN46)*100</f>
        <v>-4.199185741104345E-2</v>
      </c>
      <c r="AO48" s="3"/>
    </row>
    <row r="50" spans="1:41" x14ac:dyDescent="0.2">
      <c r="A50" s="1" t="s">
        <v>40</v>
      </c>
      <c r="C50" t="s">
        <v>42</v>
      </c>
      <c r="D50" t="s">
        <v>43</v>
      </c>
      <c r="E50" t="s">
        <v>17</v>
      </c>
      <c r="F50" t="s">
        <v>42</v>
      </c>
      <c r="G50" t="s">
        <v>43</v>
      </c>
      <c r="H50" t="s">
        <v>17</v>
      </c>
      <c r="I50" t="s">
        <v>42</v>
      </c>
      <c r="J50" t="s">
        <v>43</v>
      </c>
      <c r="K50" t="s">
        <v>17</v>
      </c>
      <c r="L50" t="s">
        <v>42</v>
      </c>
      <c r="M50" t="s">
        <v>43</v>
      </c>
      <c r="N50" t="s">
        <v>17</v>
      </c>
      <c r="O50" t="s">
        <v>42</v>
      </c>
      <c r="P50" t="s">
        <v>43</v>
      </c>
      <c r="Q50" t="s">
        <v>17</v>
      </c>
      <c r="R50" t="s">
        <v>42</v>
      </c>
      <c r="S50" t="s">
        <v>43</v>
      </c>
      <c r="T50" t="s">
        <v>17</v>
      </c>
      <c r="U50" t="s">
        <v>42</v>
      </c>
      <c r="V50" t="s">
        <v>43</v>
      </c>
      <c r="W50" t="s">
        <v>17</v>
      </c>
      <c r="X50" t="s">
        <v>42</v>
      </c>
      <c r="Y50" t="s">
        <v>43</v>
      </c>
      <c r="Z50" t="s">
        <v>17</v>
      </c>
      <c r="AA50" t="s">
        <v>42</v>
      </c>
      <c r="AB50" t="s">
        <v>43</v>
      </c>
      <c r="AC50" t="s">
        <v>17</v>
      </c>
      <c r="AD50" t="s">
        <v>42</v>
      </c>
      <c r="AE50" t="s">
        <v>43</v>
      </c>
      <c r="AF50" t="s">
        <v>17</v>
      </c>
      <c r="AG50" t="s">
        <v>42</v>
      </c>
      <c r="AH50" t="s">
        <v>43</v>
      </c>
      <c r="AI50" t="s">
        <v>17</v>
      </c>
      <c r="AJ50" t="s">
        <v>42</v>
      </c>
      <c r="AK50" t="s">
        <v>43</v>
      </c>
      <c r="AL50" t="s">
        <v>17</v>
      </c>
      <c r="AM50" t="s">
        <v>42</v>
      </c>
      <c r="AN50" t="s">
        <v>43</v>
      </c>
      <c r="AO50" t="s">
        <v>17</v>
      </c>
    </row>
    <row r="51" spans="1:41" x14ac:dyDescent="0.2">
      <c r="B51" s="1" t="s">
        <v>18</v>
      </c>
      <c r="C51">
        <v>0.90262013899999904</v>
      </c>
      <c r="D51">
        <v>0.89263080499999903</v>
      </c>
      <c r="E51">
        <f>((D51-C51)/C51)*100</f>
        <v>-1.1067040905011345</v>
      </c>
      <c r="F51">
        <v>312.18093737599901</v>
      </c>
      <c r="G51">
        <v>308.93521813699999</v>
      </c>
      <c r="H51">
        <f>((G51-F51)/F51)*100</f>
        <v>-1.0396916820996618</v>
      </c>
      <c r="I51">
        <v>119.777480799</v>
      </c>
      <c r="J51">
        <v>121.655184079999</v>
      </c>
      <c r="K51">
        <f>((J51-I51)/I51)*100</f>
        <v>1.5676596873413928</v>
      </c>
      <c r="L51">
        <v>4.6178531779999998</v>
      </c>
      <c r="M51">
        <v>4.6169607649999902</v>
      </c>
      <c r="N51">
        <f>((M51-L51)/L51)*100</f>
        <v>-1.9325278773721113E-2</v>
      </c>
      <c r="O51">
        <v>23.1073385289999</v>
      </c>
      <c r="P51">
        <v>14.8545740479999</v>
      </c>
      <c r="Q51">
        <f>((P51-O51)/O51)*100</f>
        <v>-35.714907065747589</v>
      </c>
      <c r="R51">
        <v>1.0567753879999999</v>
      </c>
      <c r="S51">
        <v>1.3432813509999999</v>
      </c>
      <c r="T51">
        <f>((S51-R51)/R51)*100</f>
        <v>27.111339481725327</v>
      </c>
      <c r="U51">
        <v>40.63385375</v>
      </c>
      <c r="V51">
        <v>36.857879916000002</v>
      </c>
      <c r="W51">
        <f>((V51-U51)/U51)*100</f>
        <v>-9.2926795898604588</v>
      </c>
      <c r="X51">
        <v>57.784604190000003</v>
      </c>
      <c r="Y51">
        <v>57.863666348999999</v>
      </c>
      <c r="Z51">
        <f>((Y51-X51)/X51)*100</f>
        <v>0.1368221866503293</v>
      </c>
      <c r="AA51">
        <v>126.848794154</v>
      </c>
      <c r="AB51">
        <v>160.351029624999</v>
      </c>
      <c r="AC51">
        <f>((AB51-AA51)/AA51)*100</f>
        <v>26.411158020411147</v>
      </c>
      <c r="AD51">
        <v>14.9790614939999</v>
      </c>
      <c r="AE51">
        <v>15.1517941729999</v>
      </c>
      <c r="AF51">
        <f>((AE51-AD51)/AD51)*100</f>
        <v>1.153160891082462</v>
      </c>
      <c r="AG51">
        <v>0.672494589999999</v>
      </c>
      <c r="AH51">
        <v>0.66183557599999998</v>
      </c>
      <c r="AI51">
        <f>((AH51-AG51)/AG51)*100</f>
        <v>-1.5849962450997619</v>
      </c>
      <c r="AJ51">
        <v>4.9975244019999998</v>
      </c>
      <c r="AK51">
        <v>4.9940043679999997</v>
      </c>
      <c r="AL51">
        <f>((AK51-AJ51)/AJ51)*100</f>
        <v>-7.043555402333615E-2</v>
      </c>
      <c r="AM51">
        <v>702.56938222400004</v>
      </c>
      <c r="AN51">
        <v>723.19146789599995</v>
      </c>
      <c r="AO51">
        <f>((AN51-AM51)/AM51)*100</f>
        <v>2.935238311513122</v>
      </c>
    </row>
    <row r="52" spans="1:41" x14ac:dyDescent="0.2">
      <c r="B52" s="1" t="s">
        <v>19</v>
      </c>
      <c r="C52">
        <v>0.90272969399999903</v>
      </c>
      <c r="D52">
        <v>0.89243390300000003</v>
      </c>
      <c r="E52">
        <f>((D52-C52)/C52)*100</f>
        <v>-1.1405175955139246</v>
      </c>
      <c r="F52">
        <v>312.37620140299998</v>
      </c>
      <c r="G52">
        <v>311.16337701899897</v>
      </c>
      <c r="H52">
        <f>((G52-F52)/F52)*100</f>
        <v>-0.38825761327327618</v>
      </c>
      <c r="I52">
        <v>123.873637485999</v>
      </c>
      <c r="J52">
        <v>122.244133317999</v>
      </c>
      <c r="K52">
        <f>((J52-I52)/I52)*100</f>
        <v>-1.3154567840830329</v>
      </c>
      <c r="L52">
        <v>4.6609189039999901</v>
      </c>
      <c r="M52">
        <v>4.6246927839999898</v>
      </c>
      <c r="N52">
        <f>((M52-L52)/L52)*100</f>
        <v>-0.77723128735218017</v>
      </c>
      <c r="O52">
        <v>23.5119183669999</v>
      </c>
      <c r="P52">
        <v>14.848658674999999</v>
      </c>
      <c r="Q52">
        <f>((P52-O52)/O52)*100</f>
        <v>-36.8462477487979</v>
      </c>
      <c r="R52">
        <v>1.0566157819999999</v>
      </c>
      <c r="S52">
        <v>1.3415071860000001</v>
      </c>
      <c r="T52">
        <f>((S52-R52)/R52)*100</f>
        <v>26.96263001682102</v>
      </c>
      <c r="U52">
        <v>41.806042761999997</v>
      </c>
      <c r="V52">
        <v>36.824226884999902</v>
      </c>
      <c r="W52">
        <f>((V52-U52)/U52)*100</f>
        <v>-11.916497108710715</v>
      </c>
      <c r="X52">
        <v>58.060852638999897</v>
      </c>
      <c r="Y52">
        <v>57.805925857999902</v>
      </c>
      <c r="Z52">
        <f>((Y52-X52)/X52)*100</f>
        <v>-0.43906826960504969</v>
      </c>
      <c r="AA52">
        <v>127.771955304</v>
      </c>
      <c r="AB52">
        <v>160.68093549599899</v>
      </c>
      <c r="AC52">
        <f>((AB52-AA52)/AA52)*100</f>
        <v>25.75602769301031</v>
      </c>
      <c r="AD52">
        <v>15.1408263679999</v>
      </c>
      <c r="AE52">
        <v>15.123592677</v>
      </c>
      <c r="AF52">
        <f>((AE52-AD52)/AD52)*100</f>
        <v>-0.11382265789880125</v>
      </c>
      <c r="AG52">
        <v>0.67240537600000005</v>
      </c>
      <c r="AH52">
        <v>0.66215632399999902</v>
      </c>
      <c r="AI52">
        <f>((AH52-AG52)/AG52)*100</f>
        <v>-1.5242370697525527</v>
      </c>
      <c r="AJ52">
        <v>5.0034779690000004</v>
      </c>
      <c r="AK52">
        <v>4.9905195329999996</v>
      </c>
      <c r="AL52">
        <f>((AK52-AJ52)/AJ52)*100</f>
        <v>-0.25898856915703933</v>
      </c>
      <c r="AM52">
        <v>709.84278026300001</v>
      </c>
      <c r="AN52">
        <v>726.21854965199998</v>
      </c>
      <c r="AO52">
        <f>((AN52-AM52)/AM52)*100</f>
        <v>2.3069572367746942</v>
      </c>
    </row>
    <row r="53" spans="1:41" x14ac:dyDescent="0.2">
      <c r="B53" t="s">
        <v>17</v>
      </c>
      <c r="C53">
        <f>((C52-C51)/C51)*100</f>
        <v>1.2137442459610745E-2</v>
      </c>
      <c r="D53">
        <f>((D52-D51)/D51)*100</f>
        <v>-2.2058615823705503E-2</v>
      </c>
      <c r="E53" s="3"/>
      <c r="F53">
        <f>((F52-F51)/F51)*100</f>
        <v>6.2548350531023172E-2</v>
      </c>
      <c r="G53">
        <f>((G52-G51)/G51)*100</f>
        <v>0.7212382244522485</v>
      </c>
      <c r="H53" s="3"/>
      <c r="I53">
        <f>((I52-I51)/I51)*100</f>
        <v>3.4198053421016623</v>
      </c>
      <c r="J53">
        <f>((J52-J51)/J51)*100</f>
        <v>0.48411355623999702</v>
      </c>
      <c r="K53" s="3"/>
      <c r="L53">
        <f>((L52-L51)/L51)*100</f>
        <v>0.93259192832635918</v>
      </c>
      <c r="M53">
        <f>((M52-M51)/M51)*100</f>
        <v>0.16746988752025191</v>
      </c>
      <c r="N53" s="3"/>
      <c r="O53">
        <f>((O52-O51)/O51)*100</f>
        <v>1.7508716440547623</v>
      </c>
      <c r="P53">
        <f>((P52-P51)/P51)*100</f>
        <v>-3.9821895806548276E-2</v>
      </c>
      <c r="Q53" s="3"/>
      <c r="R53">
        <f>((R52-R51)/R51)*100</f>
        <v>-1.5103114797368733E-2</v>
      </c>
      <c r="S53">
        <f>((S52-S51)/S51)*100</f>
        <v>-0.13207694714730153</v>
      </c>
      <c r="T53" s="3"/>
      <c r="U53">
        <f>((U52-U51)/U51)*100</f>
        <v>2.8847596371535325</v>
      </c>
      <c r="V53">
        <f>((V52-V51)/V51)*100</f>
        <v>-9.1304847367226771E-2</v>
      </c>
      <c r="W53" s="3"/>
      <c r="X53">
        <f>((X52-X51)/X51)*100</f>
        <v>0.47806583236525929</v>
      </c>
      <c r="Y53">
        <f>((Y52-Y51)/Y51)*100</f>
        <v>-9.9787128336872755E-2</v>
      </c>
      <c r="Z53" s="3"/>
      <c r="AA53">
        <f>((AA52-AA51)/AA51)*100</f>
        <v>0.72776501830931117</v>
      </c>
      <c r="AB53">
        <f>((AB52-AB51)/AB51)*100</f>
        <v>0.20573978961751621</v>
      </c>
      <c r="AC53" s="3"/>
      <c r="AD53">
        <f>((AD52-AD51)/AD51)*100</f>
        <v>1.0799399819861661</v>
      </c>
      <c r="AE53">
        <f>((AE52-AE51)/AE51)*100</f>
        <v>-0.18612644600303699</v>
      </c>
      <c r="AF53" s="3"/>
      <c r="AG53">
        <f>((AG52-AG51)/AG51)*100</f>
        <v>-1.3266129025506295E-2</v>
      </c>
      <c r="AH53">
        <f>((AH52-AH51)/AH51)*100</f>
        <v>4.8463396594298241E-2</v>
      </c>
      <c r="AI53" s="3"/>
      <c r="AJ53">
        <f>((AJ52-AJ51)/AJ51)*100</f>
        <v>0.11913032375825913</v>
      </c>
      <c r="AK53">
        <f>((AK52-AK51)/AK51)*100</f>
        <v>-6.9780375490454016E-2</v>
      </c>
      <c r="AL53" s="3"/>
      <c r="AM53">
        <f>((AM52-AM51)/AM51)*100</f>
        <v>1.0352569045886768</v>
      </c>
      <c r="AN53">
        <f>((AN52-AN51)/AN51)*100</f>
        <v>0.41857265888476231</v>
      </c>
      <c r="AO53" s="3"/>
    </row>
  </sheetData>
  <mergeCells count="55">
    <mergeCell ref="AG44:AI44"/>
    <mergeCell ref="AJ44:AL44"/>
    <mergeCell ref="AM44:AO44"/>
    <mergeCell ref="R44:T44"/>
    <mergeCell ref="U44:W44"/>
    <mergeCell ref="X44:Z44"/>
    <mergeCell ref="AA44:AC44"/>
    <mergeCell ref="AD44:AF44"/>
    <mergeCell ref="C44:E44"/>
    <mergeCell ref="F44:H44"/>
    <mergeCell ref="I44:K44"/>
    <mergeCell ref="L44:N44"/>
    <mergeCell ref="O44:Q44"/>
    <mergeCell ref="AG31:AI31"/>
    <mergeCell ref="AJ31:AL31"/>
    <mergeCell ref="AM31:AO31"/>
    <mergeCell ref="R31:T31"/>
    <mergeCell ref="U31:W31"/>
    <mergeCell ref="X31:Z31"/>
    <mergeCell ref="AA31:AC31"/>
    <mergeCell ref="AD31:AF31"/>
    <mergeCell ref="C31:E31"/>
    <mergeCell ref="F31:H31"/>
    <mergeCell ref="I31:K31"/>
    <mergeCell ref="L31:N31"/>
    <mergeCell ref="O31:Q31"/>
    <mergeCell ref="F23:H23"/>
    <mergeCell ref="I23:K23"/>
    <mergeCell ref="C23:E23"/>
    <mergeCell ref="AJ23:AL23"/>
    <mergeCell ref="AM23:AO23"/>
    <mergeCell ref="L23:N23"/>
    <mergeCell ref="O23:Q23"/>
    <mergeCell ref="AG23:AI23"/>
    <mergeCell ref="R23:T23"/>
    <mergeCell ref="X23:Z23"/>
    <mergeCell ref="U23:W23"/>
    <mergeCell ref="AA23:AC23"/>
    <mergeCell ref="AD23:AF23"/>
    <mergeCell ref="B8:E8"/>
    <mergeCell ref="F8:I8"/>
    <mergeCell ref="AM2:AO2"/>
    <mergeCell ref="C1:AO1"/>
    <mergeCell ref="U2:W2"/>
    <mergeCell ref="X2:Z2"/>
    <mergeCell ref="AA2:AC2"/>
    <mergeCell ref="AD2:AF2"/>
    <mergeCell ref="AG2:AI2"/>
    <mergeCell ref="AJ2:AL2"/>
    <mergeCell ref="C2:E2"/>
    <mergeCell ref="F2:H2"/>
    <mergeCell ref="I2:K2"/>
    <mergeCell ref="L2:N2"/>
    <mergeCell ref="O2:Q2"/>
    <mergeCell ref="R2:T2"/>
  </mergeCells>
  <conditionalFormatting sqref="C6:D6">
    <cfRule type="colorScale" priority="334">
      <colorScale>
        <cfvo type="num" val="0"/>
        <cfvo type="num" val="0"/>
        <color rgb="FF92D050"/>
        <color rgb="FFFF0000"/>
      </colorScale>
    </cfRule>
  </conditionalFormatting>
  <conditionalFormatting sqref="E4:E5">
    <cfRule type="colorScale" priority="321">
      <colorScale>
        <cfvo type="num" val="0"/>
        <cfvo type="num" val="0"/>
        <color rgb="FF92D050"/>
        <color rgb="FFFF0000"/>
      </colorScale>
    </cfRule>
  </conditionalFormatting>
  <conditionalFormatting sqref="H4:H5">
    <cfRule type="colorScale" priority="308">
      <colorScale>
        <cfvo type="num" val="0"/>
        <cfvo type="num" val="0"/>
        <color rgb="FF92D050"/>
        <color rgb="FFFF0000"/>
      </colorScale>
    </cfRule>
  </conditionalFormatting>
  <conditionalFormatting sqref="K4:K5">
    <cfRule type="colorScale" priority="307">
      <colorScale>
        <cfvo type="num" val="0"/>
        <cfvo type="num" val="0"/>
        <color rgb="FF92D050"/>
        <color rgb="FFFF0000"/>
      </colorScale>
    </cfRule>
  </conditionalFormatting>
  <conditionalFormatting sqref="N4:N5">
    <cfRule type="colorScale" priority="306">
      <colorScale>
        <cfvo type="num" val="0"/>
        <cfvo type="num" val="0"/>
        <color rgb="FF92D050"/>
        <color rgb="FFFF0000"/>
      </colorScale>
    </cfRule>
  </conditionalFormatting>
  <conditionalFormatting sqref="Q4:Q5">
    <cfRule type="colorScale" priority="305">
      <colorScale>
        <cfvo type="num" val="0"/>
        <cfvo type="num" val="0"/>
        <color rgb="FF92D050"/>
        <color rgb="FFFF0000"/>
      </colorScale>
    </cfRule>
  </conditionalFormatting>
  <conditionalFormatting sqref="T4:T5">
    <cfRule type="colorScale" priority="304">
      <colorScale>
        <cfvo type="num" val="0"/>
        <cfvo type="num" val="0"/>
        <color rgb="FF92D050"/>
        <color rgb="FFFF0000"/>
      </colorScale>
    </cfRule>
  </conditionalFormatting>
  <conditionalFormatting sqref="W4:W5">
    <cfRule type="colorScale" priority="303">
      <colorScale>
        <cfvo type="num" val="0"/>
        <cfvo type="num" val="0"/>
        <color rgb="FF92D050"/>
        <color rgb="FFFF0000"/>
      </colorScale>
    </cfRule>
  </conditionalFormatting>
  <conditionalFormatting sqref="Z4:Z5">
    <cfRule type="colorScale" priority="302">
      <colorScale>
        <cfvo type="num" val="0"/>
        <cfvo type="num" val="0"/>
        <color rgb="FF92D050"/>
        <color rgb="FFFF0000"/>
      </colorScale>
    </cfRule>
  </conditionalFormatting>
  <conditionalFormatting sqref="AC4:AC5">
    <cfRule type="colorScale" priority="301">
      <colorScale>
        <cfvo type="num" val="0"/>
        <cfvo type="num" val="0"/>
        <color rgb="FF92D050"/>
        <color rgb="FFFF0000"/>
      </colorScale>
    </cfRule>
  </conditionalFormatting>
  <conditionalFormatting sqref="AF4:AF5">
    <cfRule type="colorScale" priority="300">
      <colorScale>
        <cfvo type="num" val="0"/>
        <cfvo type="num" val="0"/>
        <color rgb="FF92D050"/>
        <color rgb="FFFF0000"/>
      </colorScale>
    </cfRule>
  </conditionalFormatting>
  <conditionalFormatting sqref="AI4:AI5">
    <cfRule type="colorScale" priority="299">
      <colorScale>
        <cfvo type="num" val="0"/>
        <cfvo type="num" val="0"/>
        <color rgb="FF92D050"/>
        <color rgb="FFFF0000"/>
      </colorScale>
    </cfRule>
  </conditionalFormatting>
  <conditionalFormatting sqref="AL4:AL5">
    <cfRule type="colorScale" priority="298">
      <colorScale>
        <cfvo type="num" val="0"/>
        <cfvo type="num" val="0"/>
        <color rgb="FF92D050"/>
        <color rgb="FFFF0000"/>
      </colorScale>
    </cfRule>
  </conditionalFormatting>
  <conditionalFormatting sqref="AO4:AO5">
    <cfRule type="colorScale" priority="297">
      <colorScale>
        <cfvo type="num" val="0"/>
        <cfvo type="num" val="0"/>
        <color rgb="FF92D050"/>
        <color rgb="FFFF0000"/>
      </colorScale>
    </cfRule>
  </conditionalFormatting>
  <conditionalFormatting sqref="F6:G6">
    <cfRule type="colorScale" priority="296">
      <colorScale>
        <cfvo type="num" val="0"/>
        <cfvo type="num" val="0"/>
        <color rgb="FF92D050"/>
        <color rgb="FFFF0000"/>
      </colorScale>
    </cfRule>
  </conditionalFormatting>
  <conditionalFormatting sqref="I6:J6">
    <cfRule type="colorScale" priority="295">
      <colorScale>
        <cfvo type="num" val="0"/>
        <cfvo type="num" val="0"/>
        <color rgb="FF92D050"/>
        <color rgb="FFFF0000"/>
      </colorScale>
    </cfRule>
  </conditionalFormatting>
  <conditionalFormatting sqref="L6:M6">
    <cfRule type="colorScale" priority="294">
      <colorScale>
        <cfvo type="num" val="0"/>
        <cfvo type="num" val="0"/>
        <color rgb="FF92D050"/>
        <color rgb="FFFF0000"/>
      </colorScale>
    </cfRule>
  </conditionalFormatting>
  <conditionalFormatting sqref="O6:P6">
    <cfRule type="colorScale" priority="293">
      <colorScale>
        <cfvo type="num" val="0"/>
        <cfvo type="num" val="0"/>
        <color rgb="FF92D050"/>
        <color rgb="FFFF0000"/>
      </colorScale>
    </cfRule>
  </conditionalFormatting>
  <conditionalFormatting sqref="R6:S6">
    <cfRule type="colorScale" priority="292">
      <colorScale>
        <cfvo type="num" val="0"/>
        <cfvo type="num" val="0"/>
        <color rgb="FF92D050"/>
        <color rgb="FFFF0000"/>
      </colorScale>
    </cfRule>
  </conditionalFormatting>
  <conditionalFormatting sqref="U6:V6">
    <cfRule type="colorScale" priority="291">
      <colorScale>
        <cfvo type="num" val="0"/>
        <cfvo type="num" val="0"/>
        <color rgb="FF92D050"/>
        <color rgb="FFFF0000"/>
      </colorScale>
    </cfRule>
  </conditionalFormatting>
  <conditionalFormatting sqref="X6:Y6">
    <cfRule type="colorScale" priority="290">
      <colorScale>
        <cfvo type="num" val="0"/>
        <cfvo type="num" val="0"/>
        <color rgb="FF92D050"/>
        <color rgb="FFFF0000"/>
      </colorScale>
    </cfRule>
  </conditionalFormatting>
  <conditionalFormatting sqref="AA6:AB6">
    <cfRule type="colorScale" priority="289">
      <colorScale>
        <cfvo type="num" val="0"/>
        <cfvo type="num" val="0"/>
        <color rgb="FF92D050"/>
        <color rgb="FFFF0000"/>
      </colorScale>
    </cfRule>
  </conditionalFormatting>
  <conditionalFormatting sqref="AD6:AE6">
    <cfRule type="colorScale" priority="288">
      <colorScale>
        <cfvo type="num" val="0"/>
        <cfvo type="num" val="0"/>
        <color rgb="FF92D050"/>
        <color rgb="FFFF0000"/>
      </colorScale>
    </cfRule>
  </conditionalFormatting>
  <conditionalFormatting sqref="AG6:AH6">
    <cfRule type="colorScale" priority="287">
      <colorScale>
        <cfvo type="num" val="0"/>
        <cfvo type="num" val="0"/>
        <color rgb="FF92D050"/>
        <color rgb="FFFF0000"/>
      </colorScale>
    </cfRule>
  </conditionalFormatting>
  <conditionalFormatting sqref="AJ6:AK6">
    <cfRule type="colorScale" priority="286">
      <colorScale>
        <cfvo type="num" val="0"/>
        <cfvo type="num" val="0"/>
        <color rgb="FF92D050"/>
        <color rgb="FFFF0000"/>
      </colorScale>
    </cfRule>
  </conditionalFormatting>
  <conditionalFormatting sqref="AM6:AN6">
    <cfRule type="colorScale" priority="285">
      <colorScale>
        <cfvo type="num" val="0"/>
        <cfvo type="num" val="0"/>
        <color rgb="FF92D050"/>
        <color rgb="FFFF0000"/>
      </colorScale>
    </cfRule>
  </conditionalFormatting>
  <conditionalFormatting sqref="E25:E26">
    <cfRule type="colorScale" priority="284">
      <colorScale>
        <cfvo type="num" val="0"/>
        <cfvo type="num" val="0"/>
        <color rgb="FF92D050"/>
        <color rgb="FFFF0000"/>
      </colorScale>
    </cfRule>
  </conditionalFormatting>
  <conditionalFormatting sqref="C27:D27">
    <cfRule type="colorScale" priority="271">
      <colorScale>
        <cfvo type="num" val="0"/>
        <cfvo type="num" val="0"/>
        <color rgb="FF92D050"/>
        <color rgb="FFFF0000"/>
      </colorScale>
    </cfRule>
  </conditionalFormatting>
  <conditionalFormatting sqref="H25:H26">
    <cfRule type="colorScale" priority="128">
      <colorScale>
        <cfvo type="num" val="0"/>
        <cfvo type="num" val="0"/>
        <color rgb="FF92D050"/>
        <color rgb="FFFF0000"/>
      </colorScale>
    </cfRule>
  </conditionalFormatting>
  <conditionalFormatting sqref="K25:K26">
    <cfRule type="colorScale" priority="127">
      <colorScale>
        <cfvo type="num" val="0"/>
        <cfvo type="num" val="0"/>
        <color rgb="FF92D050"/>
        <color rgb="FFFF0000"/>
      </colorScale>
    </cfRule>
  </conditionalFormatting>
  <conditionalFormatting sqref="N25:N26">
    <cfRule type="colorScale" priority="126">
      <colorScale>
        <cfvo type="num" val="0"/>
        <cfvo type="num" val="0"/>
        <color rgb="FF92D050"/>
        <color rgb="FFFF0000"/>
      </colorScale>
    </cfRule>
  </conditionalFormatting>
  <conditionalFormatting sqref="Q25:Q26">
    <cfRule type="colorScale" priority="125">
      <colorScale>
        <cfvo type="num" val="0"/>
        <cfvo type="num" val="0"/>
        <color rgb="FF92D050"/>
        <color rgb="FFFF0000"/>
      </colorScale>
    </cfRule>
  </conditionalFormatting>
  <conditionalFormatting sqref="T25:T26">
    <cfRule type="colorScale" priority="124">
      <colorScale>
        <cfvo type="num" val="0"/>
        <cfvo type="num" val="0"/>
        <color rgb="FF92D050"/>
        <color rgb="FFFF0000"/>
      </colorScale>
    </cfRule>
  </conditionalFormatting>
  <conditionalFormatting sqref="W25:W26">
    <cfRule type="colorScale" priority="123">
      <colorScale>
        <cfvo type="num" val="0"/>
        <cfvo type="num" val="0"/>
        <color rgb="FF92D050"/>
        <color rgb="FFFF0000"/>
      </colorScale>
    </cfRule>
  </conditionalFormatting>
  <conditionalFormatting sqref="Z25:Z26">
    <cfRule type="colorScale" priority="122">
      <colorScale>
        <cfvo type="num" val="0"/>
        <cfvo type="num" val="0"/>
        <color rgb="FF92D050"/>
        <color rgb="FFFF0000"/>
      </colorScale>
    </cfRule>
  </conditionalFormatting>
  <conditionalFormatting sqref="AC25:AC26">
    <cfRule type="colorScale" priority="121">
      <colorScale>
        <cfvo type="num" val="0"/>
        <cfvo type="num" val="0"/>
        <color rgb="FF92D050"/>
        <color rgb="FFFF0000"/>
      </colorScale>
    </cfRule>
  </conditionalFormatting>
  <conditionalFormatting sqref="AF25:AF26">
    <cfRule type="colorScale" priority="120">
      <colorScale>
        <cfvo type="num" val="0"/>
        <cfvo type="num" val="0"/>
        <color rgb="FF92D050"/>
        <color rgb="FFFF0000"/>
      </colorScale>
    </cfRule>
  </conditionalFormatting>
  <conditionalFormatting sqref="AI25:AI26">
    <cfRule type="colorScale" priority="119">
      <colorScale>
        <cfvo type="num" val="0"/>
        <cfvo type="num" val="0"/>
        <color rgb="FF92D050"/>
        <color rgb="FFFF0000"/>
      </colorScale>
    </cfRule>
  </conditionalFormatting>
  <conditionalFormatting sqref="AL25:AL26">
    <cfRule type="colorScale" priority="118">
      <colorScale>
        <cfvo type="num" val="0"/>
        <cfvo type="num" val="0"/>
        <color rgb="FF92D050"/>
        <color rgb="FFFF0000"/>
      </colorScale>
    </cfRule>
  </conditionalFormatting>
  <conditionalFormatting sqref="AO25:AO26">
    <cfRule type="colorScale" priority="117">
      <colorScale>
        <cfvo type="num" val="0"/>
        <cfvo type="num" val="0"/>
        <color rgb="FF92D050"/>
        <color rgb="FFFF0000"/>
      </colorScale>
    </cfRule>
  </conditionalFormatting>
  <conditionalFormatting sqref="F27:G27">
    <cfRule type="colorScale" priority="116">
      <colorScale>
        <cfvo type="num" val="0"/>
        <cfvo type="num" val="0"/>
        <color rgb="FF92D050"/>
        <color rgb="FFFF0000"/>
      </colorScale>
    </cfRule>
  </conditionalFormatting>
  <conditionalFormatting sqref="I27:J27">
    <cfRule type="colorScale" priority="115">
      <colorScale>
        <cfvo type="num" val="0"/>
        <cfvo type="num" val="0"/>
        <color rgb="FF92D050"/>
        <color rgb="FFFF0000"/>
      </colorScale>
    </cfRule>
  </conditionalFormatting>
  <conditionalFormatting sqref="L27:M27">
    <cfRule type="colorScale" priority="114">
      <colorScale>
        <cfvo type="num" val="0"/>
        <cfvo type="num" val="0"/>
        <color rgb="FF92D050"/>
        <color rgb="FFFF0000"/>
      </colorScale>
    </cfRule>
  </conditionalFormatting>
  <conditionalFormatting sqref="O27:P27">
    <cfRule type="colorScale" priority="113">
      <colorScale>
        <cfvo type="num" val="0"/>
        <cfvo type="num" val="0"/>
        <color rgb="FF92D050"/>
        <color rgb="FFFF0000"/>
      </colorScale>
    </cfRule>
  </conditionalFormatting>
  <conditionalFormatting sqref="R27:S27">
    <cfRule type="colorScale" priority="112">
      <colorScale>
        <cfvo type="num" val="0"/>
        <cfvo type="num" val="0"/>
        <color rgb="FF92D050"/>
        <color rgb="FFFF0000"/>
      </colorScale>
    </cfRule>
  </conditionalFormatting>
  <conditionalFormatting sqref="U27:V27">
    <cfRule type="colorScale" priority="111">
      <colorScale>
        <cfvo type="num" val="0"/>
        <cfvo type="num" val="0"/>
        <color rgb="FF92D050"/>
        <color rgb="FFFF0000"/>
      </colorScale>
    </cfRule>
  </conditionalFormatting>
  <conditionalFormatting sqref="X27:Y27">
    <cfRule type="colorScale" priority="110">
      <colorScale>
        <cfvo type="num" val="0"/>
        <cfvo type="num" val="0"/>
        <color rgb="FF92D050"/>
        <color rgb="FFFF0000"/>
      </colorScale>
    </cfRule>
  </conditionalFormatting>
  <conditionalFormatting sqref="AA27:AB27">
    <cfRule type="colorScale" priority="109">
      <colorScale>
        <cfvo type="num" val="0"/>
        <cfvo type="num" val="0"/>
        <color rgb="FF92D050"/>
        <color rgb="FFFF0000"/>
      </colorScale>
    </cfRule>
  </conditionalFormatting>
  <conditionalFormatting sqref="AD27:AE27">
    <cfRule type="colorScale" priority="108">
      <colorScale>
        <cfvo type="num" val="0"/>
        <cfvo type="num" val="0"/>
        <color rgb="FF92D050"/>
        <color rgb="FFFF0000"/>
      </colorScale>
    </cfRule>
  </conditionalFormatting>
  <conditionalFormatting sqref="AG27:AH27">
    <cfRule type="colorScale" priority="107">
      <colorScale>
        <cfvo type="num" val="0"/>
        <cfvo type="num" val="0"/>
        <color rgb="FF92D050"/>
        <color rgb="FFFF0000"/>
      </colorScale>
    </cfRule>
  </conditionalFormatting>
  <conditionalFormatting sqref="AJ27:AK27">
    <cfRule type="colorScale" priority="106">
      <colorScale>
        <cfvo type="num" val="0"/>
        <cfvo type="num" val="0"/>
        <color rgb="FF92D050"/>
        <color rgb="FFFF0000"/>
      </colorScale>
    </cfRule>
  </conditionalFormatting>
  <conditionalFormatting sqref="AM27:AN27">
    <cfRule type="colorScale" priority="105">
      <colorScale>
        <cfvo type="num" val="0"/>
        <cfvo type="num" val="0"/>
        <color rgb="FF92D050"/>
        <color rgb="FFFF0000"/>
      </colorScale>
    </cfRule>
  </conditionalFormatting>
  <conditionalFormatting sqref="E33:E34">
    <cfRule type="colorScale" priority="104">
      <colorScale>
        <cfvo type="num" val="0"/>
        <cfvo type="num" val="0"/>
        <color rgb="FF92D050"/>
        <color rgb="FFFF0000"/>
      </colorScale>
    </cfRule>
  </conditionalFormatting>
  <conditionalFormatting sqref="H33:H34">
    <cfRule type="colorScale" priority="103">
      <colorScale>
        <cfvo type="num" val="0"/>
        <cfvo type="num" val="0"/>
        <color rgb="FF92D050"/>
        <color rgb="FFFF0000"/>
      </colorScale>
    </cfRule>
  </conditionalFormatting>
  <conditionalFormatting sqref="K33:K34">
    <cfRule type="colorScale" priority="102">
      <colorScale>
        <cfvo type="num" val="0"/>
        <cfvo type="num" val="0"/>
        <color rgb="FF92D050"/>
        <color rgb="FFFF0000"/>
      </colorScale>
    </cfRule>
  </conditionalFormatting>
  <conditionalFormatting sqref="N33:N34">
    <cfRule type="colorScale" priority="101">
      <colorScale>
        <cfvo type="num" val="0"/>
        <cfvo type="num" val="0"/>
        <color rgb="FF92D050"/>
        <color rgb="FFFF0000"/>
      </colorScale>
    </cfRule>
  </conditionalFormatting>
  <conditionalFormatting sqref="Q33:Q34">
    <cfRule type="colorScale" priority="100">
      <colorScale>
        <cfvo type="num" val="0"/>
        <cfvo type="num" val="0"/>
        <color rgb="FF92D050"/>
        <color rgb="FFFF0000"/>
      </colorScale>
    </cfRule>
  </conditionalFormatting>
  <conditionalFormatting sqref="T33:T34">
    <cfRule type="colorScale" priority="99">
      <colorScale>
        <cfvo type="num" val="0"/>
        <cfvo type="num" val="0"/>
        <color rgb="FF92D050"/>
        <color rgb="FFFF0000"/>
      </colorScale>
    </cfRule>
  </conditionalFormatting>
  <conditionalFormatting sqref="W33:W34">
    <cfRule type="colorScale" priority="98">
      <colorScale>
        <cfvo type="num" val="0"/>
        <cfvo type="num" val="0"/>
        <color rgb="FF92D050"/>
        <color rgb="FFFF0000"/>
      </colorScale>
    </cfRule>
  </conditionalFormatting>
  <conditionalFormatting sqref="Z33:Z34">
    <cfRule type="colorScale" priority="97">
      <colorScale>
        <cfvo type="num" val="0"/>
        <cfvo type="num" val="0"/>
        <color rgb="FF92D050"/>
        <color rgb="FFFF0000"/>
      </colorScale>
    </cfRule>
  </conditionalFormatting>
  <conditionalFormatting sqref="AC33:AC34">
    <cfRule type="colorScale" priority="96">
      <colorScale>
        <cfvo type="num" val="0"/>
        <cfvo type="num" val="0"/>
        <color rgb="FF92D050"/>
        <color rgb="FFFF0000"/>
      </colorScale>
    </cfRule>
  </conditionalFormatting>
  <conditionalFormatting sqref="AF33:AF34">
    <cfRule type="colorScale" priority="95">
      <colorScale>
        <cfvo type="num" val="0"/>
        <cfvo type="num" val="0"/>
        <color rgb="FF92D050"/>
        <color rgb="FFFF0000"/>
      </colorScale>
    </cfRule>
  </conditionalFormatting>
  <conditionalFormatting sqref="AI33:AI34">
    <cfRule type="colorScale" priority="94">
      <colorScale>
        <cfvo type="num" val="0"/>
        <cfvo type="num" val="0"/>
        <color rgb="FF92D050"/>
        <color rgb="FFFF0000"/>
      </colorScale>
    </cfRule>
  </conditionalFormatting>
  <conditionalFormatting sqref="AL33:AL34">
    <cfRule type="colorScale" priority="93">
      <colorScale>
        <cfvo type="num" val="0"/>
        <cfvo type="num" val="0"/>
        <color rgb="FF92D050"/>
        <color rgb="FFFF0000"/>
      </colorScale>
    </cfRule>
  </conditionalFormatting>
  <conditionalFormatting sqref="AO33:AO34">
    <cfRule type="colorScale" priority="92">
      <colorScale>
        <cfvo type="num" val="0"/>
        <cfvo type="num" val="0"/>
        <color rgb="FF92D050"/>
        <color rgb="FFFF0000"/>
      </colorScale>
    </cfRule>
  </conditionalFormatting>
  <conditionalFormatting sqref="C35:D35">
    <cfRule type="colorScale" priority="91">
      <colorScale>
        <cfvo type="num" val="0"/>
        <cfvo type="num" val="0"/>
        <color rgb="FF92D050"/>
        <color rgb="FFFF0000"/>
      </colorScale>
    </cfRule>
  </conditionalFormatting>
  <conditionalFormatting sqref="F35:G35">
    <cfRule type="colorScale" priority="90">
      <colorScale>
        <cfvo type="num" val="0"/>
        <cfvo type="num" val="0"/>
        <color rgb="FF92D050"/>
        <color rgb="FFFF0000"/>
      </colorScale>
    </cfRule>
  </conditionalFormatting>
  <conditionalFormatting sqref="I35:J35">
    <cfRule type="colorScale" priority="89">
      <colorScale>
        <cfvo type="num" val="0"/>
        <cfvo type="num" val="0"/>
        <color rgb="FF92D050"/>
        <color rgb="FFFF0000"/>
      </colorScale>
    </cfRule>
  </conditionalFormatting>
  <conditionalFormatting sqref="L35:M35">
    <cfRule type="colorScale" priority="88">
      <colorScale>
        <cfvo type="num" val="0"/>
        <cfvo type="num" val="0"/>
        <color rgb="FF92D050"/>
        <color rgb="FFFF0000"/>
      </colorScale>
    </cfRule>
  </conditionalFormatting>
  <conditionalFormatting sqref="O35:P35">
    <cfRule type="colorScale" priority="87">
      <colorScale>
        <cfvo type="num" val="0"/>
        <cfvo type="num" val="0"/>
        <color rgb="FF92D050"/>
        <color rgb="FFFF0000"/>
      </colorScale>
    </cfRule>
  </conditionalFormatting>
  <conditionalFormatting sqref="R35:S35">
    <cfRule type="colorScale" priority="86">
      <colorScale>
        <cfvo type="num" val="0"/>
        <cfvo type="num" val="0"/>
        <color rgb="FF92D050"/>
        <color rgb="FFFF0000"/>
      </colorScale>
    </cfRule>
  </conditionalFormatting>
  <conditionalFormatting sqref="U35:V35">
    <cfRule type="colorScale" priority="85">
      <colorScale>
        <cfvo type="num" val="0"/>
        <cfvo type="num" val="0"/>
        <color rgb="FF92D050"/>
        <color rgb="FFFF0000"/>
      </colorScale>
    </cfRule>
  </conditionalFormatting>
  <conditionalFormatting sqref="X35:Y35">
    <cfRule type="colorScale" priority="84">
      <colorScale>
        <cfvo type="num" val="0"/>
        <cfvo type="num" val="0"/>
        <color rgb="FF92D050"/>
        <color rgb="FFFF0000"/>
      </colorScale>
    </cfRule>
  </conditionalFormatting>
  <conditionalFormatting sqref="AA35:AB35">
    <cfRule type="colorScale" priority="83">
      <colorScale>
        <cfvo type="num" val="0"/>
        <cfvo type="num" val="0"/>
        <color rgb="FF92D050"/>
        <color rgb="FFFF0000"/>
      </colorScale>
    </cfRule>
  </conditionalFormatting>
  <conditionalFormatting sqref="AD35:AE35">
    <cfRule type="colorScale" priority="82">
      <colorScale>
        <cfvo type="num" val="0"/>
        <cfvo type="num" val="0"/>
        <color rgb="FF92D050"/>
        <color rgb="FFFF0000"/>
      </colorScale>
    </cfRule>
  </conditionalFormatting>
  <conditionalFormatting sqref="AG35:AH35">
    <cfRule type="colorScale" priority="81">
      <colorScale>
        <cfvo type="num" val="0"/>
        <cfvo type="num" val="0"/>
        <color rgb="FF92D050"/>
        <color rgb="FFFF0000"/>
      </colorScale>
    </cfRule>
  </conditionalFormatting>
  <conditionalFormatting sqref="AJ35:AK35">
    <cfRule type="colorScale" priority="80">
      <colorScale>
        <cfvo type="num" val="0"/>
        <cfvo type="num" val="0"/>
        <color rgb="FF92D050"/>
        <color rgb="FFFF0000"/>
      </colorScale>
    </cfRule>
  </conditionalFormatting>
  <conditionalFormatting sqref="AM35:AN35">
    <cfRule type="colorScale" priority="79">
      <colorScale>
        <cfvo type="num" val="0"/>
        <cfvo type="num" val="0"/>
        <color rgb="FF92D050"/>
        <color rgb="FFFF0000"/>
      </colorScale>
    </cfRule>
  </conditionalFormatting>
  <conditionalFormatting sqref="E38:E39">
    <cfRule type="colorScale" priority="78">
      <colorScale>
        <cfvo type="num" val="0"/>
        <cfvo type="num" val="0"/>
        <color rgb="FF92D050"/>
        <color rgb="FFFF0000"/>
      </colorScale>
    </cfRule>
  </conditionalFormatting>
  <conditionalFormatting sqref="H38:H39">
    <cfRule type="colorScale" priority="77">
      <colorScale>
        <cfvo type="num" val="0"/>
        <cfvo type="num" val="0"/>
        <color rgb="FF92D050"/>
        <color rgb="FFFF0000"/>
      </colorScale>
    </cfRule>
  </conditionalFormatting>
  <conditionalFormatting sqref="K38:K39">
    <cfRule type="colorScale" priority="76">
      <colorScale>
        <cfvo type="num" val="0"/>
        <cfvo type="num" val="0"/>
        <color rgb="FF92D050"/>
        <color rgb="FFFF0000"/>
      </colorScale>
    </cfRule>
  </conditionalFormatting>
  <conditionalFormatting sqref="N38:N39">
    <cfRule type="colorScale" priority="75">
      <colorScale>
        <cfvo type="num" val="0"/>
        <cfvo type="num" val="0"/>
        <color rgb="FF92D050"/>
        <color rgb="FFFF0000"/>
      </colorScale>
    </cfRule>
  </conditionalFormatting>
  <conditionalFormatting sqref="Q38:Q39">
    <cfRule type="colorScale" priority="74">
      <colorScale>
        <cfvo type="num" val="0"/>
        <cfvo type="num" val="0"/>
        <color rgb="FF92D050"/>
        <color rgb="FFFF0000"/>
      </colorScale>
    </cfRule>
  </conditionalFormatting>
  <conditionalFormatting sqref="T38:T39">
    <cfRule type="colorScale" priority="73">
      <colorScale>
        <cfvo type="num" val="0"/>
        <cfvo type="num" val="0"/>
        <color rgb="FF92D050"/>
        <color rgb="FFFF0000"/>
      </colorScale>
    </cfRule>
  </conditionalFormatting>
  <conditionalFormatting sqref="W38:W39">
    <cfRule type="colorScale" priority="72">
      <colorScale>
        <cfvo type="num" val="0"/>
        <cfvo type="num" val="0"/>
        <color rgb="FF92D050"/>
        <color rgb="FFFF0000"/>
      </colorScale>
    </cfRule>
  </conditionalFormatting>
  <conditionalFormatting sqref="Z38:Z39">
    <cfRule type="colorScale" priority="71">
      <colorScale>
        <cfvo type="num" val="0"/>
        <cfvo type="num" val="0"/>
        <color rgb="FF92D050"/>
        <color rgb="FFFF0000"/>
      </colorScale>
    </cfRule>
  </conditionalFormatting>
  <conditionalFormatting sqref="AC38:AC39">
    <cfRule type="colorScale" priority="70">
      <colorScale>
        <cfvo type="num" val="0"/>
        <cfvo type="num" val="0"/>
        <color rgb="FF92D050"/>
        <color rgb="FFFF0000"/>
      </colorScale>
    </cfRule>
  </conditionalFormatting>
  <conditionalFormatting sqref="AF38:AF39">
    <cfRule type="colorScale" priority="69">
      <colorScale>
        <cfvo type="num" val="0"/>
        <cfvo type="num" val="0"/>
        <color rgb="FF92D050"/>
        <color rgb="FFFF0000"/>
      </colorScale>
    </cfRule>
  </conditionalFormatting>
  <conditionalFormatting sqref="AI38:AI39">
    <cfRule type="colorScale" priority="68">
      <colorScale>
        <cfvo type="num" val="0"/>
        <cfvo type="num" val="0"/>
        <color rgb="FF92D050"/>
        <color rgb="FFFF0000"/>
      </colorScale>
    </cfRule>
  </conditionalFormatting>
  <conditionalFormatting sqref="AL38:AL39">
    <cfRule type="colorScale" priority="67">
      <colorScale>
        <cfvo type="num" val="0"/>
        <cfvo type="num" val="0"/>
        <color rgb="FF92D050"/>
        <color rgb="FFFF0000"/>
      </colorScale>
    </cfRule>
  </conditionalFormatting>
  <conditionalFormatting sqref="AO38:AO39">
    <cfRule type="colorScale" priority="66">
      <colorScale>
        <cfvo type="num" val="0"/>
        <cfvo type="num" val="0"/>
        <color rgb="FF92D050"/>
        <color rgb="FFFF0000"/>
      </colorScale>
    </cfRule>
  </conditionalFormatting>
  <conditionalFormatting sqref="C40:D40">
    <cfRule type="colorScale" priority="65">
      <colorScale>
        <cfvo type="num" val="0"/>
        <cfvo type="num" val="0"/>
        <color rgb="FF92D050"/>
        <color rgb="FFFF0000"/>
      </colorScale>
    </cfRule>
  </conditionalFormatting>
  <conditionalFormatting sqref="F40:G40">
    <cfRule type="colorScale" priority="64">
      <colorScale>
        <cfvo type="num" val="0"/>
        <cfvo type="num" val="0"/>
        <color rgb="FF92D050"/>
        <color rgb="FFFF0000"/>
      </colorScale>
    </cfRule>
  </conditionalFormatting>
  <conditionalFormatting sqref="I40:J40">
    <cfRule type="colorScale" priority="63">
      <colorScale>
        <cfvo type="num" val="0"/>
        <cfvo type="num" val="0"/>
        <color rgb="FF92D050"/>
        <color rgb="FFFF0000"/>
      </colorScale>
    </cfRule>
  </conditionalFormatting>
  <conditionalFormatting sqref="L40:M40">
    <cfRule type="colorScale" priority="62">
      <colorScale>
        <cfvo type="num" val="0"/>
        <cfvo type="num" val="0"/>
        <color rgb="FF92D050"/>
        <color rgb="FFFF0000"/>
      </colorScale>
    </cfRule>
  </conditionalFormatting>
  <conditionalFormatting sqref="O40:P40">
    <cfRule type="colorScale" priority="61">
      <colorScale>
        <cfvo type="num" val="0"/>
        <cfvo type="num" val="0"/>
        <color rgb="FF92D050"/>
        <color rgb="FFFF0000"/>
      </colorScale>
    </cfRule>
  </conditionalFormatting>
  <conditionalFormatting sqref="R40:S40">
    <cfRule type="colorScale" priority="60">
      <colorScale>
        <cfvo type="num" val="0"/>
        <cfvo type="num" val="0"/>
        <color rgb="FF92D050"/>
        <color rgb="FFFF0000"/>
      </colorScale>
    </cfRule>
  </conditionalFormatting>
  <conditionalFormatting sqref="U40:V40">
    <cfRule type="colorScale" priority="59">
      <colorScale>
        <cfvo type="num" val="0"/>
        <cfvo type="num" val="0"/>
        <color rgb="FF92D050"/>
        <color rgb="FFFF0000"/>
      </colorScale>
    </cfRule>
  </conditionalFormatting>
  <conditionalFormatting sqref="X40:Y40">
    <cfRule type="colorScale" priority="58">
      <colorScale>
        <cfvo type="num" val="0"/>
        <cfvo type="num" val="0"/>
        <color rgb="FF92D050"/>
        <color rgb="FFFF0000"/>
      </colorScale>
    </cfRule>
  </conditionalFormatting>
  <conditionalFormatting sqref="AA40:AB40">
    <cfRule type="colorScale" priority="57">
      <colorScale>
        <cfvo type="num" val="0"/>
        <cfvo type="num" val="0"/>
        <color rgb="FF92D050"/>
        <color rgb="FFFF0000"/>
      </colorScale>
    </cfRule>
  </conditionalFormatting>
  <conditionalFormatting sqref="AD40:AE40">
    <cfRule type="colorScale" priority="56">
      <colorScale>
        <cfvo type="num" val="0"/>
        <cfvo type="num" val="0"/>
        <color rgb="FF92D050"/>
        <color rgb="FFFF0000"/>
      </colorScale>
    </cfRule>
  </conditionalFormatting>
  <conditionalFormatting sqref="AG40:AH40">
    <cfRule type="colorScale" priority="55">
      <colorScale>
        <cfvo type="num" val="0"/>
        <cfvo type="num" val="0"/>
        <color rgb="FF92D050"/>
        <color rgb="FFFF0000"/>
      </colorScale>
    </cfRule>
  </conditionalFormatting>
  <conditionalFormatting sqref="AJ40:AK40">
    <cfRule type="colorScale" priority="54">
      <colorScale>
        <cfvo type="num" val="0"/>
        <cfvo type="num" val="0"/>
        <color rgb="FF92D050"/>
        <color rgb="FFFF0000"/>
      </colorScale>
    </cfRule>
  </conditionalFormatting>
  <conditionalFormatting sqref="AM40:AN40">
    <cfRule type="colorScale" priority="53">
      <colorScale>
        <cfvo type="num" val="0"/>
        <cfvo type="num" val="0"/>
        <color rgb="FF92D050"/>
        <color rgb="FFFF0000"/>
      </colorScale>
    </cfRule>
  </conditionalFormatting>
  <conditionalFormatting sqref="E46:E47">
    <cfRule type="colorScale" priority="52">
      <colorScale>
        <cfvo type="num" val="0"/>
        <cfvo type="num" val="0"/>
        <color rgb="FF92D050"/>
        <color rgb="FFFF0000"/>
      </colorScale>
    </cfRule>
  </conditionalFormatting>
  <conditionalFormatting sqref="H46:H47">
    <cfRule type="colorScale" priority="51">
      <colorScale>
        <cfvo type="num" val="0"/>
        <cfvo type="num" val="0"/>
        <color rgb="FF92D050"/>
        <color rgb="FFFF0000"/>
      </colorScale>
    </cfRule>
  </conditionalFormatting>
  <conditionalFormatting sqref="K46:K47">
    <cfRule type="colorScale" priority="50">
      <colorScale>
        <cfvo type="num" val="0"/>
        <cfvo type="num" val="0"/>
        <color rgb="FF92D050"/>
        <color rgb="FFFF0000"/>
      </colorScale>
    </cfRule>
  </conditionalFormatting>
  <conditionalFormatting sqref="N46:N47">
    <cfRule type="colorScale" priority="49">
      <colorScale>
        <cfvo type="num" val="0"/>
        <cfvo type="num" val="0"/>
        <color rgb="FF92D050"/>
        <color rgb="FFFF0000"/>
      </colorScale>
    </cfRule>
  </conditionalFormatting>
  <conditionalFormatting sqref="Q46:Q47">
    <cfRule type="colorScale" priority="48">
      <colorScale>
        <cfvo type="num" val="0"/>
        <cfvo type="num" val="0"/>
        <color rgb="FF92D050"/>
        <color rgb="FFFF0000"/>
      </colorScale>
    </cfRule>
  </conditionalFormatting>
  <conditionalFormatting sqref="T46:T47">
    <cfRule type="colorScale" priority="47">
      <colorScale>
        <cfvo type="num" val="0"/>
        <cfvo type="num" val="0"/>
        <color rgb="FF92D050"/>
        <color rgb="FFFF0000"/>
      </colorScale>
    </cfRule>
  </conditionalFormatting>
  <conditionalFormatting sqref="W46:W47">
    <cfRule type="colorScale" priority="46">
      <colorScale>
        <cfvo type="num" val="0"/>
        <cfvo type="num" val="0"/>
        <color rgb="FF92D050"/>
        <color rgb="FFFF0000"/>
      </colorScale>
    </cfRule>
  </conditionalFormatting>
  <conditionalFormatting sqref="Z46:Z47">
    <cfRule type="colorScale" priority="45">
      <colorScale>
        <cfvo type="num" val="0"/>
        <cfvo type="num" val="0"/>
        <color rgb="FF92D050"/>
        <color rgb="FFFF0000"/>
      </colorScale>
    </cfRule>
  </conditionalFormatting>
  <conditionalFormatting sqref="AC46:AC47">
    <cfRule type="colorScale" priority="44">
      <colorScale>
        <cfvo type="num" val="0"/>
        <cfvo type="num" val="0"/>
        <color rgb="FF92D050"/>
        <color rgb="FFFF0000"/>
      </colorScale>
    </cfRule>
  </conditionalFormatting>
  <conditionalFormatting sqref="AF46:AF47">
    <cfRule type="colorScale" priority="43">
      <colorScale>
        <cfvo type="num" val="0"/>
        <cfvo type="num" val="0"/>
        <color rgb="FF92D050"/>
        <color rgb="FFFF0000"/>
      </colorScale>
    </cfRule>
  </conditionalFormatting>
  <conditionalFormatting sqref="AI46:AI47">
    <cfRule type="colorScale" priority="42">
      <colorScale>
        <cfvo type="num" val="0"/>
        <cfvo type="num" val="0"/>
        <color rgb="FF92D050"/>
        <color rgb="FFFF0000"/>
      </colorScale>
    </cfRule>
  </conditionalFormatting>
  <conditionalFormatting sqref="AL46:AL47">
    <cfRule type="colorScale" priority="41">
      <colorScale>
        <cfvo type="num" val="0"/>
        <cfvo type="num" val="0"/>
        <color rgb="FF92D050"/>
        <color rgb="FFFF0000"/>
      </colorScale>
    </cfRule>
  </conditionalFormatting>
  <conditionalFormatting sqref="AO46:AO47">
    <cfRule type="colorScale" priority="40">
      <colorScale>
        <cfvo type="num" val="0"/>
        <cfvo type="num" val="0"/>
        <color rgb="FF92D050"/>
        <color rgb="FFFF0000"/>
      </colorScale>
    </cfRule>
  </conditionalFormatting>
  <conditionalFormatting sqref="C48:D48">
    <cfRule type="colorScale" priority="39">
      <colorScale>
        <cfvo type="num" val="0"/>
        <cfvo type="num" val="0"/>
        <color rgb="FF92D050"/>
        <color rgb="FFFF0000"/>
      </colorScale>
    </cfRule>
  </conditionalFormatting>
  <conditionalFormatting sqref="F48:G48">
    <cfRule type="colorScale" priority="38">
      <colorScale>
        <cfvo type="num" val="0"/>
        <cfvo type="num" val="0"/>
        <color rgb="FF92D050"/>
        <color rgb="FFFF0000"/>
      </colorScale>
    </cfRule>
  </conditionalFormatting>
  <conditionalFormatting sqref="I48:J48">
    <cfRule type="colorScale" priority="37">
      <colorScale>
        <cfvo type="num" val="0"/>
        <cfvo type="num" val="0"/>
        <color rgb="FF92D050"/>
        <color rgb="FFFF0000"/>
      </colorScale>
    </cfRule>
  </conditionalFormatting>
  <conditionalFormatting sqref="L48:M48">
    <cfRule type="colorScale" priority="36">
      <colorScale>
        <cfvo type="num" val="0"/>
        <cfvo type="num" val="0"/>
        <color rgb="FF92D050"/>
        <color rgb="FFFF0000"/>
      </colorScale>
    </cfRule>
  </conditionalFormatting>
  <conditionalFormatting sqref="O48:P48">
    <cfRule type="colorScale" priority="35">
      <colorScale>
        <cfvo type="num" val="0"/>
        <cfvo type="num" val="0"/>
        <color rgb="FF92D050"/>
        <color rgb="FFFF0000"/>
      </colorScale>
    </cfRule>
  </conditionalFormatting>
  <conditionalFormatting sqref="R48:S48">
    <cfRule type="colorScale" priority="34">
      <colorScale>
        <cfvo type="num" val="0"/>
        <cfvo type="num" val="0"/>
        <color rgb="FF92D050"/>
        <color rgb="FFFF0000"/>
      </colorScale>
    </cfRule>
  </conditionalFormatting>
  <conditionalFormatting sqref="U48:V48">
    <cfRule type="colorScale" priority="33">
      <colorScale>
        <cfvo type="num" val="0"/>
        <cfvo type="num" val="0"/>
        <color rgb="FF92D050"/>
        <color rgb="FFFF0000"/>
      </colorScale>
    </cfRule>
  </conditionalFormatting>
  <conditionalFormatting sqref="X48:Y48">
    <cfRule type="colorScale" priority="32">
      <colorScale>
        <cfvo type="num" val="0"/>
        <cfvo type="num" val="0"/>
        <color rgb="FF92D050"/>
        <color rgb="FFFF0000"/>
      </colorScale>
    </cfRule>
  </conditionalFormatting>
  <conditionalFormatting sqref="AA48:AB48">
    <cfRule type="colorScale" priority="31">
      <colorScale>
        <cfvo type="num" val="0"/>
        <cfvo type="num" val="0"/>
        <color rgb="FF92D050"/>
        <color rgb="FFFF0000"/>
      </colorScale>
    </cfRule>
  </conditionalFormatting>
  <conditionalFormatting sqref="AD48:AE48">
    <cfRule type="colorScale" priority="30">
      <colorScale>
        <cfvo type="num" val="0"/>
        <cfvo type="num" val="0"/>
        <color rgb="FF92D050"/>
        <color rgb="FFFF0000"/>
      </colorScale>
    </cfRule>
  </conditionalFormatting>
  <conditionalFormatting sqref="AG48:AH48">
    <cfRule type="colorScale" priority="29">
      <colorScale>
        <cfvo type="num" val="0"/>
        <cfvo type="num" val="0"/>
        <color rgb="FF92D050"/>
        <color rgb="FFFF0000"/>
      </colorScale>
    </cfRule>
  </conditionalFormatting>
  <conditionalFormatting sqref="AJ48:AK48">
    <cfRule type="colorScale" priority="28">
      <colorScale>
        <cfvo type="num" val="0"/>
        <cfvo type="num" val="0"/>
        <color rgb="FF92D050"/>
        <color rgb="FFFF0000"/>
      </colorScale>
    </cfRule>
  </conditionalFormatting>
  <conditionalFormatting sqref="AM48:AN48">
    <cfRule type="colorScale" priority="27">
      <colorScale>
        <cfvo type="num" val="0"/>
        <cfvo type="num" val="0"/>
        <color rgb="FF92D050"/>
        <color rgb="FFFF0000"/>
      </colorScale>
    </cfRule>
  </conditionalFormatting>
  <conditionalFormatting sqref="E51:E52">
    <cfRule type="colorScale" priority="26">
      <colorScale>
        <cfvo type="num" val="0"/>
        <cfvo type="num" val="0"/>
        <color rgb="FF92D050"/>
        <color rgb="FFFF0000"/>
      </colorScale>
    </cfRule>
  </conditionalFormatting>
  <conditionalFormatting sqref="H51:H52">
    <cfRule type="colorScale" priority="25">
      <colorScale>
        <cfvo type="num" val="0"/>
        <cfvo type="num" val="0"/>
        <color rgb="FF92D050"/>
        <color rgb="FFFF0000"/>
      </colorScale>
    </cfRule>
  </conditionalFormatting>
  <conditionalFormatting sqref="K51:K52">
    <cfRule type="colorScale" priority="24">
      <colorScale>
        <cfvo type="num" val="0"/>
        <cfvo type="num" val="0"/>
        <color rgb="FF92D050"/>
        <color rgb="FFFF0000"/>
      </colorScale>
    </cfRule>
  </conditionalFormatting>
  <conditionalFormatting sqref="N51:N52">
    <cfRule type="colorScale" priority="23">
      <colorScale>
        <cfvo type="num" val="0"/>
        <cfvo type="num" val="0"/>
        <color rgb="FF92D050"/>
        <color rgb="FFFF0000"/>
      </colorScale>
    </cfRule>
  </conditionalFormatting>
  <conditionalFormatting sqref="Q51:Q52">
    <cfRule type="colorScale" priority="22">
      <colorScale>
        <cfvo type="num" val="0"/>
        <cfvo type="num" val="0"/>
        <color rgb="FF92D050"/>
        <color rgb="FFFF0000"/>
      </colorScale>
    </cfRule>
  </conditionalFormatting>
  <conditionalFormatting sqref="T51:T52">
    <cfRule type="colorScale" priority="21">
      <colorScale>
        <cfvo type="num" val="0"/>
        <cfvo type="num" val="0"/>
        <color rgb="FF92D050"/>
        <color rgb="FFFF0000"/>
      </colorScale>
    </cfRule>
  </conditionalFormatting>
  <conditionalFormatting sqref="W51:W52">
    <cfRule type="colorScale" priority="20">
      <colorScale>
        <cfvo type="num" val="0"/>
        <cfvo type="num" val="0"/>
        <color rgb="FF92D050"/>
        <color rgb="FFFF0000"/>
      </colorScale>
    </cfRule>
  </conditionalFormatting>
  <conditionalFormatting sqref="Z51:Z52">
    <cfRule type="colorScale" priority="19">
      <colorScale>
        <cfvo type="num" val="0"/>
        <cfvo type="num" val="0"/>
        <color rgb="FF92D050"/>
        <color rgb="FFFF0000"/>
      </colorScale>
    </cfRule>
  </conditionalFormatting>
  <conditionalFormatting sqref="AC51:AC52">
    <cfRule type="colorScale" priority="18">
      <colorScale>
        <cfvo type="num" val="0"/>
        <cfvo type="num" val="0"/>
        <color rgb="FF92D050"/>
        <color rgb="FFFF0000"/>
      </colorScale>
    </cfRule>
  </conditionalFormatting>
  <conditionalFormatting sqref="AF51:AF52">
    <cfRule type="colorScale" priority="17">
      <colorScale>
        <cfvo type="num" val="0"/>
        <cfvo type="num" val="0"/>
        <color rgb="FF92D050"/>
        <color rgb="FFFF0000"/>
      </colorScale>
    </cfRule>
  </conditionalFormatting>
  <conditionalFormatting sqref="AI51:AI52">
    <cfRule type="colorScale" priority="16">
      <colorScale>
        <cfvo type="num" val="0"/>
        <cfvo type="num" val="0"/>
        <color rgb="FF92D050"/>
        <color rgb="FFFF0000"/>
      </colorScale>
    </cfRule>
  </conditionalFormatting>
  <conditionalFormatting sqref="AL51:AL52">
    <cfRule type="colorScale" priority="15">
      <colorScale>
        <cfvo type="num" val="0"/>
        <cfvo type="num" val="0"/>
        <color rgb="FF92D050"/>
        <color rgb="FFFF0000"/>
      </colorScale>
    </cfRule>
  </conditionalFormatting>
  <conditionalFormatting sqref="AO51:AO52">
    <cfRule type="colorScale" priority="14">
      <colorScale>
        <cfvo type="num" val="0"/>
        <cfvo type="num" val="0"/>
        <color rgb="FF92D050"/>
        <color rgb="FFFF0000"/>
      </colorScale>
    </cfRule>
  </conditionalFormatting>
  <conditionalFormatting sqref="C53:D53">
    <cfRule type="colorScale" priority="13">
      <colorScale>
        <cfvo type="num" val="0"/>
        <cfvo type="num" val="0"/>
        <color rgb="FF92D050"/>
        <color rgb="FFFF0000"/>
      </colorScale>
    </cfRule>
  </conditionalFormatting>
  <conditionalFormatting sqref="F53:G53">
    <cfRule type="colorScale" priority="12">
      <colorScale>
        <cfvo type="num" val="0"/>
        <cfvo type="num" val="0"/>
        <color rgb="FF92D050"/>
        <color rgb="FFFF0000"/>
      </colorScale>
    </cfRule>
  </conditionalFormatting>
  <conditionalFormatting sqref="I53:J53">
    <cfRule type="colorScale" priority="11">
      <colorScale>
        <cfvo type="num" val="0"/>
        <cfvo type="num" val="0"/>
        <color rgb="FF92D050"/>
        <color rgb="FFFF0000"/>
      </colorScale>
    </cfRule>
  </conditionalFormatting>
  <conditionalFormatting sqref="L53:M53">
    <cfRule type="colorScale" priority="10">
      <colorScale>
        <cfvo type="num" val="0"/>
        <cfvo type="num" val="0"/>
        <color rgb="FF92D050"/>
        <color rgb="FFFF0000"/>
      </colorScale>
    </cfRule>
  </conditionalFormatting>
  <conditionalFormatting sqref="O53:P53">
    <cfRule type="colorScale" priority="9">
      <colorScale>
        <cfvo type="num" val="0"/>
        <cfvo type="num" val="0"/>
        <color rgb="FF92D050"/>
        <color rgb="FFFF0000"/>
      </colorScale>
    </cfRule>
  </conditionalFormatting>
  <conditionalFormatting sqref="R53:S53">
    <cfRule type="colorScale" priority="8">
      <colorScale>
        <cfvo type="num" val="0"/>
        <cfvo type="num" val="0"/>
        <color rgb="FF92D050"/>
        <color rgb="FFFF0000"/>
      </colorScale>
    </cfRule>
  </conditionalFormatting>
  <conditionalFormatting sqref="U53:V53">
    <cfRule type="colorScale" priority="7">
      <colorScale>
        <cfvo type="num" val="0"/>
        <cfvo type="num" val="0"/>
        <color rgb="FF92D050"/>
        <color rgb="FFFF0000"/>
      </colorScale>
    </cfRule>
  </conditionalFormatting>
  <conditionalFormatting sqref="X53:Y53">
    <cfRule type="colorScale" priority="6">
      <colorScale>
        <cfvo type="num" val="0"/>
        <cfvo type="num" val="0"/>
        <color rgb="FF92D050"/>
        <color rgb="FFFF0000"/>
      </colorScale>
    </cfRule>
  </conditionalFormatting>
  <conditionalFormatting sqref="AA53:AB53">
    <cfRule type="colorScale" priority="5">
      <colorScale>
        <cfvo type="num" val="0"/>
        <cfvo type="num" val="0"/>
        <color rgb="FF92D050"/>
        <color rgb="FFFF0000"/>
      </colorScale>
    </cfRule>
  </conditionalFormatting>
  <conditionalFormatting sqref="AD53:AE53">
    <cfRule type="colorScale" priority="4">
      <colorScale>
        <cfvo type="num" val="0"/>
        <cfvo type="num" val="0"/>
        <color rgb="FF92D050"/>
        <color rgb="FFFF0000"/>
      </colorScale>
    </cfRule>
  </conditionalFormatting>
  <conditionalFormatting sqref="AG53:AH53">
    <cfRule type="colorScale" priority="3">
      <colorScale>
        <cfvo type="num" val="0"/>
        <cfvo type="num" val="0"/>
        <color rgb="FF92D050"/>
        <color rgb="FFFF0000"/>
      </colorScale>
    </cfRule>
  </conditionalFormatting>
  <conditionalFormatting sqref="AJ53:AK53">
    <cfRule type="colorScale" priority="2">
      <colorScale>
        <cfvo type="num" val="0"/>
        <cfvo type="num" val="0"/>
        <color rgb="FF92D050"/>
        <color rgb="FFFF0000"/>
      </colorScale>
    </cfRule>
  </conditionalFormatting>
  <conditionalFormatting sqref="AM53:AN53">
    <cfRule type="colorScale" priority="1">
      <colorScale>
        <cfvo type="num" val="0"/>
        <cfvo type="num" val="0"/>
        <color rgb="FF92D050"/>
        <color rgb="FFFF000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0E2C0-8C68-E84F-BBAA-6A32D2F1D90D}">
  <dimension ref="A1:W48"/>
  <sheetViews>
    <sheetView workbookViewId="0">
      <selection activeCell="A34" sqref="A34:B34"/>
    </sheetView>
  </sheetViews>
  <sheetFormatPr baseColWidth="10" defaultRowHeight="16" x14ac:dyDescent="0.2"/>
  <cols>
    <col min="1" max="1" width="16.83203125" customWidth="1"/>
    <col min="2" max="2" width="10.1640625" customWidth="1"/>
    <col min="3" max="3" width="16.6640625" bestFit="1" customWidth="1"/>
    <col min="4" max="4" width="21.83203125" bestFit="1" customWidth="1"/>
    <col min="5" max="5" width="15.33203125" bestFit="1" customWidth="1"/>
    <col min="6" max="6" width="13" bestFit="1" customWidth="1"/>
    <col min="7" max="7" width="13.83203125" bestFit="1" customWidth="1"/>
    <col min="8" max="8" width="16.5" bestFit="1" customWidth="1"/>
    <col min="9" max="9" width="20.1640625" bestFit="1" customWidth="1"/>
    <col min="10" max="10" width="22.5" bestFit="1" customWidth="1"/>
    <col min="11" max="11" width="12.33203125" bestFit="1" customWidth="1"/>
    <col min="12" max="12" width="14.5" bestFit="1" customWidth="1"/>
    <col min="13" max="13" width="17" bestFit="1" customWidth="1"/>
    <col min="14" max="14" width="12.1640625" bestFit="1" customWidth="1"/>
    <col min="15" max="15" width="21" bestFit="1" customWidth="1"/>
    <col min="16" max="16" width="12.1640625" bestFit="1" customWidth="1"/>
    <col min="17" max="17" width="16.33203125" bestFit="1" customWidth="1"/>
    <col min="18" max="21" width="12.1640625" bestFit="1" customWidth="1"/>
  </cols>
  <sheetData>
    <row r="1" spans="1:15" x14ac:dyDescent="0.2">
      <c r="A1" s="1" t="s">
        <v>0</v>
      </c>
      <c r="B1" s="1" t="s">
        <v>1</v>
      </c>
    </row>
    <row r="2" spans="1:15" x14ac:dyDescent="0.2">
      <c r="A2" t="s">
        <v>3</v>
      </c>
      <c r="B2" t="s">
        <v>35</v>
      </c>
    </row>
    <row r="3" spans="1:15" x14ac:dyDescent="0.2">
      <c r="C3" s="6" t="s">
        <v>2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</row>
    <row r="4" spans="1:15" x14ac:dyDescent="0.2">
      <c r="B4" s="1" t="s">
        <v>20</v>
      </c>
      <c r="C4" s="1" t="s">
        <v>4</v>
      </c>
      <c r="D4" s="1" t="s">
        <v>5</v>
      </c>
      <c r="E4" s="1" t="s">
        <v>21</v>
      </c>
      <c r="F4" s="1" t="s">
        <v>22</v>
      </c>
      <c r="G4" s="1" t="s">
        <v>23</v>
      </c>
      <c r="H4" s="1" t="s">
        <v>6</v>
      </c>
      <c r="I4" s="1" t="s">
        <v>7</v>
      </c>
      <c r="J4" s="1" t="s">
        <v>8</v>
      </c>
      <c r="K4" s="1" t="s">
        <v>24</v>
      </c>
      <c r="L4" s="1" t="s">
        <v>25</v>
      </c>
      <c r="M4" s="1" t="s">
        <v>9</v>
      </c>
      <c r="N4" s="1" t="s">
        <v>10</v>
      </c>
      <c r="O4" s="1" t="s">
        <v>11</v>
      </c>
    </row>
    <row r="5" spans="1:15" x14ac:dyDescent="0.2">
      <c r="B5">
        <v>0</v>
      </c>
      <c r="C5">
        <v>8.6513869999999896E-3</v>
      </c>
      <c r="D5">
        <v>2.1428386779999902</v>
      </c>
      <c r="E5">
        <v>1.0459400139999899</v>
      </c>
      <c r="F5">
        <v>2.9108816999999999E-2</v>
      </c>
      <c r="G5">
        <v>4.4461694000000003E-2</v>
      </c>
      <c r="H5">
        <v>3.7134701999999999E-2</v>
      </c>
      <c r="I5">
        <v>6.5959407999999803E-2</v>
      </c>
      <c r="J5">
        <v>0.19721512899999999</v>
      </c>
      <c r="K5">
        <v>0.179230476</v>
      </c>
      <c r="L5">
        <v>9.0989789000000099E-2</v>
      </c>
      <c r="M5">
        <v>8.2061369999999901E-3</v>
      </c>
      <c r="N5">
        <v>0.54753065499999998</v>
      </c>
      <c r="O5">
        <v>3.8551661770000001</v>
      </c>
    </row>
    <row r="6" spans="1:15" x14ac:dyDescent="0.2">
      <c r="B6">
        <v>1</v>
      </c>
      <c r="C6">
        <v>9.1146979999999801E-3</v>
      </c>
      <c r="D6">
        <v>2.1446120820000001</v>
      </c>
      <c r="E6">
        <v>1.04705441699999</v>
      </c>
      <c r="F6">
        <v>2.9561518999999901E-2</v>
      </c>
      <c r="G6">
        <v>4.4925132E-2</v>
      </c>
      <c r="H6">
        <v>3.8252988000000002E-2</v>
      </c>
      <c r="I6">
        <v>6.6523505999999899E-2</v>
      </c>
      <c r="J6">
        <v>0.19805794600000001</v>
      </c>
      <c r="K6">
        <v>0.17976397399999899</v>
      </c>
      <c r="L6">
        <v>9.3634264999999994E-2</v>
      </c>
      <c r="M6">
        <v>8.6101049999999998E-3</v>
      </c>
      <c r="N6">
        <v>0.445609951</v>
      </c>
      <c r="O6">
        <v>3.8658179069999998</v>
      </c>
    </row>
    <row r="7" spans="1:15" x14ac:dyDescent="0.2">
      <c r="B7">
        <v>2</v>
      </c>
      <c r="C7">
        <v>8.6439220000000105E-3</v>
      </c>
      <c r="D7">
        <v>2.1452851810000002</v>
      </c>
      <c r="E7">
        <v>1.0468125859999999</v>
      </c>
      <c r="F7">
        <v>2.90910159999999E-2</v>
      </c>
      <c r="G7">
        <v>4.4446091999999902E-2</v>
      </c>
      <c r="H7">
        <v>3.6759314999999897E-2</v>
      </c>
      <c r="I7">
        <v>6.6006917999999998E-2</v>
      </c>
      <c r="J7">
        <v>0.19695311900000001</v>
      </c>
      <c r="K7">
        <v>0.18012039599999899</v>
      </c>
      <c r="L7">
        <v>9.0899451000000006E-2</v>
      </c>
      <c r="M7">
        <v>8.1513530000000001E-3</v>
      </c>
      <c r="N7">
        <v>0.44324433099999999</v>
      </c>
      <c r="O7">
        <v>3.8585220859999998</v>
      </c>
    </row>
    <row r="8" spans="1:15" x14ac:dyDescent="0.2">
      <c r="B8">
        <v>3</v>
      </c>
      <c r="C8">
        <v>8.4523930000000094E-3</v>
      </c>
      <c r="D8">
        <v>2.1445185309999899</v>
      </c>
      <c r="E8">
        <v>1.0455505169999999</v>
      </c>
      <c r="F8">
        <v>2.8845112999999901E-2</v>
      </c>
      <c r="G8">
        <v>4.4144060999999998E-2</v>
      </c>
      <c r="H8">
        <v>3.5919872999999998E-2</v>
      </c>
      <c r="I8">
        <v>6.5642814000000105E-2</v>
      </c>
      <c r="J8">
        <v>0.19685138599999899</v>
      </c>
      <c r="K8">
        <v>0.17891417599999901</v>
      </c>
      <c r="L8">
        <v>8.9575056999999902E-2</v>
      </c>
      <c r="M8">
        <v>7.9651269999999903E-3</v>
      </c>
      <c r="N8">
        <v>0.45069857299999999</v>
      </c>
      <c r="O8">
        <v>3.851590217</v>
      </c>
    </row>
    <row r="9" spans="1:15" x14ac:dyDescent="0.2">
      <c r="B9">
        <v>4</v>
      </c>
      <c r="C9">
        <v>8.8189599999999903E-3</v>
      </c>
      <c r="D9">
        <v>2.1455203100000002</v>
      </c>
      <c r="E9">
        <v>1.0475854979999999</v>
      </c>
      <c r="F9">
        <v>2.9332956999999899E-2</v>
      </c>
      <c r="G9">
        <v>4.4655607999999999E-2</v>
      </c>
      <c r="H9">
        <v>3.7505588999999902E-2</v>
      </c>
      <c r="I9">
        <v>6.6328740999999997E-2</v>
      </c>
      <c r="J9">
        <v>0.19750219299999899</v>
      </c>
      <c r="K9">
        <v>0.180724150999999</v>
      </c>
      <c r="L9">
        <v>9.2008421000000007E-2</v>
      </c>
      <c r="M9">
        <v>8.3581909999999992E-3</v>
      </c>
      <c r="N9">
        <v>0.44460427200000002</v>
      </c>
      <c r="O9">
        <v>3.8638768610000001</v>
      </c>
    </row>
    <row r="10" spans="1:15" x14ac:dyDescent="0.2">
      <c r="B10">
        <v>5</v>
      </c>
      <c r="C10">
        <v>9.2816759999999904E-3</v>
      </c>
      <c r="D10">
        <v>2.145677251</v>
      </c>
      <c r="E10">
        <v>1.0475797659999899</v>
      </c>
      <c r="F10">
        <v>2.99306939999999E-2</v>
      </c>
      <c r="G10">
        <v>4.5159297000000001E-2</v>
      </c>
      <c r="H10">
        <v>3.8583780999999998E-2</v>
      </c>
      <c r="I10">
        <v>6.7056235000000006E-2</v>
      </c>
      <c r="J10">
        <v>0.19808751899999899</v>
      </c>
      <c r="K10">
        <v>0.180074022999999</v>
      </c>
      <c r="L10">
        <v>9.4768563E-2</v>
      </c>
      <c r="M10">
        <v>8.8046690000000098E-3</v>
      </c>
      <c r="N10">
        <v>0.44397826699999998</v>
      </c>
      <c r="O10">
        <v>3.8708446799999998</v>
      </c>
    </row>
    <row r="11" spans="1:15" x14ac:dyDescent="0.2">
      <c r="B11">
        <v>6</v>
      </c>
      <c r="C11">
        <v>8.3954769999999897E-3</v>
      </c>
      <c r="D11">
        <v>2.1449094309999999</v>
      </c>
      <c r="E11">
        <v>1.045685094</v>
      </c>
      <c r="F11">
        <v>2.8810280000000001E-2</v>
      </c>
      <c r="G11">
        <v>4.42275369999999E-2</v>
      </c>
      <c r="H11">
        <v>3.5837943999999899E-2</v>
      </c>
      <c r="I11">
        <v>6.5625075000000005E-2</v>
      </c>
      <c r="J11">
        <v>0.19676226999999899</v>
      </c>
      <c r="K11">
        <v>0.17896058500000001</v>
      </c>
      <c r="L11">
        <v>8.9136310999999899E-2</v>
      </c>
      <c r="M11">
        <v>7.8973359999999996E-3</v>
      </c>
      <c r="N11">
        <v>0.44694959200000001</v>
      </c>
      <c r="O11">
        <v>3.851443476</v>
      </c>
    </row>
    <row r="12" spans="1:15" x14ac:dyDescent="0.2">
      <c r="B12">
        <v>7</v>
      </c>
      <c r="C12">
        <v>8.6166799999999894E-3</v>
      </c>
      <c r="D12">
        <v>2.1421185299999999</v>
      </c>
      <c r="E12">
        <v>1.0463507009999999</v>
      </c>
      <c r="F12">
        <v>2.9125549999999899E-2</v>
      </c>
      <c r="G12">
        <v>4.4417815999999999E-2</v>
      </c>
      <c r="H12">
        <v>3.6763458999999901E-2</v>
      </c>
      <c r="I12">
        <v>6.6009968999999905E-2</v>
      </c>
      <c r="J12">
        <v>0.196968740999999</v>
      </c>
      <c r="K12">
        <v>0.180434908</v>
      </c>
      <c r="L12">
        <v>9.0775485000000003E-2</v>
      </c>
      <c r="M12">
        <v>8.1689799999999993E-3</v>
      </c>
      <c r="N12">
        <v>0.44277609699999998</v>
      </c>
      <c r="O12">
        <v>3.8551168360000001</v>
      </c>
    </row>
    <row r="13" spans="1:15" x14ac:dyDescent="0.2">
      <c r="B13">
        <v>8</v>
      </c>
      <c r="C13">
        <v>8.6989889999999903E-3</v>
      </c>
      <c r="D13">
        <v>2.1466534339999899</v>
      </c>
      <c r="E13">
        <v>1.047066243</v>
      </c>
      <c r="F13">
        <v>2.9234137E-2</v>
      </c>
      <c r="G13">
        <v>4.4621948999999897E-2</v>
      </c>
      <c r="H13">
        <v>3.6978957999999999E-2</v>
      </c>
      <c r="I13">
        <v>6.6178846999999999E-2</v>
      </c>
      <c r="J13">
        <v>0.19709478799999899</v>
      </c>
      <c r="K13">
        <v>0.180469306</v>
      </c>
      <c r="L13">
        <v>9.1427005000000006E-2</v>
      </c>
      <c r="M13">
        <v>8.2494549999999993E-3</v>
      </c>
      <c r="N13">
        <v>0.44258423499999999</v>
      </c>
      <c r="O13">
        <v>3.8620369050000001</v>
      </c>
    </row>
    <row r="14" spans="1:15" x14ac:dyDescent="0.2">
      <c r="B14">
        <v>9</v>
      </c>
      <c r="C14">
        <v>8.3885490000000004E-3</v>
      </c>
      <c r="D14">
        <v>2.14427639299999</v>
      </c>
      <c r="E14">
        <v>1.0465120459999999</v>
      </c>
      <c r="F14">
        <v>2.8790607999999999E-2</v>
      </c>
      <c r="G14">
        <v>4.4176614999999898E-2</v>
      </c>
      <c r="H14">
        <v>3.57840119999999E-2</v>
      </c>
      <c r="I14">
        <v>6.5465913999999903E-2</v>
      </c>
      <c r="J14">
        <v>0.19663580899999999</v>
      </c>
      <c r="K14">
        <v>0.178886762999999</v>
      </c>
      <c r="L14">
        <v>8.9364293000000095E-2</v>
      </c>
      <c r="M14">
        <v>7.9428039999999995E-3</v>
      </c>
      <c r="N14">
        <v>0.44193059000000001</v>
      </c>
      <c r="O14">
        <v>3.8513773640000002</v>
      </c>
    </row>
    <row r="15" spans="1:15" x14ac:dyDescent="0.2">
      <c r="B15" s="1" t="s">
        <v>15</v>
      </c>
      <c r="C15">
        <v>8.7062731000000001E-3</v>
      </c>
      <c r="D15">
        <v>2.1446409820999999</v>
      </c>
      <c r="E15">
        <v>1.0466136881999999</v>
      </c>
      <c r="F15">
        <v>2.91830690999999E-2</v>
      </c>
      <c r="G15">
        <v>4.4523580100000001E-2</v>
      </c>
      <c r="H15">
        <v>3.6952062099999898E-2</v>
      </c>
      <c r="I15">
        <v>6.6079742699999999E-2</v>
      </c>
      <c r="J15">
        <v>0.197212889999999</v>
      </c>
      <c r="K15">
        <v>0.179757875799999</v>
      </c>
      <c r="L15">
        <v>9.1257863999999994E-2</v>
      </c>
      <c r="M15">
        <v>8.2354157000000001E-3</v>
      </c>
      <c r="N15">
        <v>0.45499065630000002</v>
      </c>
      <c r="O15">
        <v>3.8585792509000001</v>
      </c>
    </row>
    <row r="18" spans="1:23" x14ac:dyDescent="0.2">
      <c r="A18" s="2" t="s">
        <v>36</v>
      </c>
      <c r="B18" s="2" t="s">
        <v>37</v>
      </c>
    </row>
    <row r="19" spans="1:23" x14ac:dyDescent="0.2">
      <c r="A19" s="2"/>
      <c r="C19" s="6" t="s">
        <v>2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"/>
      <c r="Q19" s="1"/>
      <c r="R19" s="1"/>
      <c r="S19" s="1"/>
      <c r="T19" s="1"/>
      <c r="U19" s="1"/>
    </row>
    <row r="20" spans="1:23" x14ac:dyDescent="0.2">
      <c r="B20" s="1" t="s">
        <v>20</v>
      </c>
      <c r="C20" s="1" t="s">
        <v>4</v>
      </c>
      <c r="D20" s="1" t="s">
        <v>5</v>
      </c>
      <c r="E20" s="1" t="s">
        <v>21</v>
      </c>
      <c r="F20" s="1" t="s">
        <v>22</v>
      </c>
      <c r="G20" s="1" t="s">
        <v>23</v>
      </c>
      <c r="H20" s="1" t="s">
        <v>6</v>
      </c>
      <c r="I20" s="1" t="s">
        <v>7</v>
      </c>
      <c r="J20" s="1" t="s">
        <v>8</v>
      </c>
      <c r="K20" s="1" t="s">
        <v>24</v>
      </c>
      <c r="L20" s="1" t="s">
        <v>25</v>
      </c>
      <c r="M20" s="1" t="s">
        <v>9</v>
      </c>
      <c r="N20" s="1" t="s">
        <v>10</v>
      </c>
      <c r="O20" s="1" t="s">
        <v>11</v>
      </c>
    </row>
    <row r="21" spans="1:23" x14ac:dyDescent="0.2">
      <c r="B21">
        <v>0</v>
      </c>
      <c r="C21">
        <v>8.6603939999999897E-3</v>
      </c>
      <c r="D21">
        <v>2.1426797259999999</v>
      </c>
      <c r="E21">
        <v>1.0455909219999899</v>
      </c>
      <c r="F21">
        <v>2.91078039999999E-2</v>
      </c>
      <c r="G21">
        <v>4.4432894000000001E-2</v>
      </c>
      <c r="H21">
        <v>3.6664933999999899E-2</v>
      </c>
      <c r="I21">
        <v>6.5924300999999894E-2</v>
      </c>
      <c r="J21">
        <v>0.196971484</v>
      </c>
      <c r="K21">
        <v>0.17937983999999901</v>
      </c>
      <c r="L21">
        <v>9.0927322999999893E-2</v>
      </c>
      <c r="M21">
        <v>8.2295340000000002E-3</v>
      </c>
      <c r="N21">
        <v>0.54168159900000001</v>
      </c>
      <c r="O21">
        <v>3.854003429</v>
      </c>
    </row>
    <row r="22" spans="1:23" x14ac:dyDescent="0.2">
      <c r="B22">
        <v>1</v>
      </c>
      <c r="C22">
        <v>9.1350139999999899E-3</v>
      </c>
      <c r="D22">
        <v>2.1430964719999999</v>
      </c>
      <c r="E22">
        <v>1.04678183799999</v>
      </c>
      <c r="F22">
        <v>2.9625211999999901E-2</v>
      </c>
      <c r="G22">
        <v>4.6037652999999901E-2</v>
      </c>
      <c r="H22">
        <v>3.8316210999999899E-2</v>
      </c>
      <c r="I22">
        <v>6.65020959999999E-2</v>
      </c>
      <c r="J22">
        <v>0.19803069100000001</v>
      </c>
      <c r="K22">
        <v>0.17985040999999999</v>
      </c>
      <c r="L22">
        <v>9.3600687000000002E-2</v>
      </c>
      <c r="M22">
        <v>8.6398280000000004E-3</v>
      </c>
      <c r="N22">
        <v>0.45481551199999998</v>
      </c>
      <c r="O22">
        <v>3.8653052360000002</v>
      </c>
    </row>
    <row r="23" spans="1:23" x14ac:dyDescent="0.2">
      <c r="B23">
        <v>2</v>
      </c>
      <c r="C23">
        <v>8.6279449999999893E-3</v>
      </c>
      <c r="D23">
        <v>2.1424525289999998</v>
      </c>
      <c r="E23">
        <v>1.0465607539999999</v>
      </c>
      <c r="F23">
        <v>2.9131848999999901E-2</v>
      </c>
      <c r="G23">
        <v>4.4385222000000002E-2</v>
      </c>
      <c r="H23">
        <v>3.6634501E-2</v>
      </c>
      <c r="I23">
        <v>6.5934276999999902E-2</v>
      </c>
      <c r="J23">
        <v>0.19718693599999901</v>
      </c>
      <c r="K23">
        <v>0.179180698</v>
      </c>
      <c r="L23">
        <v>9.0815770999999906E-2</v>
      </c>
      <c r="M23">
        <v>8.1385029999999896E-3</v>
      </c>
      <c r="N23">
        <v>0.448953502</v>
      </c>
      <c r="O23">
        <v>3.8543771429999998</v>
      </c>
    </row>
    <row r="24" spans="1:23" x14ac:dyDescent="0.2">
      <c r="B24">
        <v>3</v>
      </c>
      <c r="C24">
        <v>8.3918650000000001E-3</v>
      </c>
      <c r="D24">
        <v>2.1421465499999899</v>
      </c>
      <c r="E24">
        <v>1.0449087420000001</v>
      </c>
      <c r="F24">
        <v>2.8802712000000001E-2</v>
      </c>
      <c r="G24">
        <v>4.4142756999999998E-2</v>
      </c>
      <c r="H24">
        <v>3.6166311999999999E-2</v>
      </c>
      <c r="I24">
        <v>6.6898819999999998E-2</v>
      </c>
      <c r="J24">
        <v>0.19694377099999899</v>
      </c>
      <c r="K24">
        <v>0.17888430399999999</v>
      </c>
      <c r="L24">
        <v>8.9453412999999898E-2</v>
      </c>
      <c r="M24">
        <v>7.9480939999999993E-3</v>
      </c>
      <c r="N24">
        <v>0.44932857500000001</v>
      </c>
      <c r="O24">
        <v>3.8500776050000001</v>
      </c>
      <c r="V24" s="1"/>
      <c r="W24" s="1"/>
    </row>
    <row r="25" spans="1:23" x14ac:dyDescent="0.2">
      <c r="B25">
        <v>4</v>
      </c>
      <c r="C25">
        <v>8.7962919999999903E-3</v>
      </c>
      <c r="D25">
        <v>2.1440620699999999</v>
      </c>
      <c r="E25">
        <v>1.0469581400000001</v>
      </c>
      <c r="F25">
        <v>2.9298840999999898E-2</v>
      </c>
      <c r="G25">
        <v>4.4544759999999899E-2</v>
      </c>
      <c r="H25">
        <v>3.7211945000000003E-2</v>
      </c>
      <c r="I25">
        <v>6.6226877000000003E-2</v>
      </c>
      <c r="J25">
        <v>0.19713001199999899</v>
      </c>
      <c r="K25">
        <v>0.17951123499999899</v>
      </c>
      <c r="L25">
        <v>9.1925750000000098E-2</v>
      </c>
      <c r="M25">
        <v>8.3578309999999996E-3</v>
      </c>
      <c r="N25">
        <v>0.44743907799999999</v>
      </c>
      <c r="O25">
        <v>3.8596107879999999</v>
      </c>
    </row>
    <row r="26" spans="1:23" x14ac:dyDescent="0.2">
      <c r="B26">
        <v>5</v>
      </c>
      <c r="C26">
        <v>9.2333020000000005E-3</v>
      </c>
      <c r="D26">
        <v>2.1479225049999902</v>
      </c>
      <c r="E26">
        <v>1.04813678399999</v>
      </c>
      <c r="F26">
        <v>2.9806754000000001E-2</v>
      </c>
      <c r="G26">
        <v>4.5097948999999901E-2</v>
      </c>
      <c r="H26">
        <v>3.9199507999999897E-2</v>
      </c>
      <c r="I26">
        <v>6.7014243000000001E-2</v>
      </c>
      <c r="J26">
        <v>0.198180786</v>
      </c>
      <c r="K26">
        <v>0.181125229999999</v>
      </c>
      <c r="L26">
        <v>9.4655160000000002E-2</v>
      </c>
      <c r="M26">
        <v>8.7600279999999892E-3</v>
      </c>
      <c r="N26">
        <v>0.44530413200000002</v>
      </c>
      <c r="O26">
        <v>3.8750892270000001</v>
      </c>
    </row>
    <row r="27" spans="1:23" x14ac:dyDescent="0.2">
      <c r="B27">
        <v>6</v>
      </c>
      <c r="C27">
        <v>8.3692479999999993E-3</v>
      </c>
      <c r="D27">
        <v>2.1435319429999899</v>
      </c>
      <c r="E27">
        <v>1.0456604759999899</v>
      </c>
      <c r="F27">
        <v>2.87932669999999E-2</v>
      </c>
      <c r="G27">
        <v>4.4104874000000002E-2</v>
      </c>
      <c r="H27">
        <v>3.6050753999999997E-2</v>
      </c>
      <c r="I27">
        <v>6.5597123999999896E-2</v>
      </c>
      <c r="J27">
        <v>0.19656315699999999</v>
      </c>
      <c r="K27">
        <v>0.17875163099999899</v>
      </c>
      <c r="L27">
        <v>8.9227557000000096E-2</v>
      </c>
      <c r="M27">
        <v>7.8978079999999801E-3</v>
      </c>
      <c r="N27">
        <v>0.45084902999999998</v>
      </c>
      <c r="O27">
        <v>3.8497267979999998</v>
      </c>
    </row>
    <row r="28" spans="1:23" x14ac:dyDescent="0.2">
      <c r="B28">
        <v>7</v>
      </c>
      <c r="C28">
        <v>8.6481760000000005E-3</v>
      </c>
      <c r="D28">
        <v>2.142978389</v>
      </c>
      <c r="E28">
        <v>1.0464620739999899</v>
      </c>
      <c r="F28">
        <v>2.90709449999999E-2</v>
      </c>
      <c r="G28">
        <v>4.4454595999999902E-2</v>
      </c>
      <c r="H28">
        <v>3.6952960999999902E-2</v>
      </c>
      <c r="I28">
        <v>6.7347757999999994E-2</v>
      </c>
      <c r="J28">
        <v>0.197026217</v>
      </c>
      <c r="K28">
        <v>0.17917825299999901</v>
      </c>
      <c r="L28">
        <v>9.0796849999999901E-2</v>
      </c>
      <c r="M28">
        <v>8.1629589999999991E-3</v>
      </c>
      <c r="N28">
        <v>0.44886558300000001</v>
      </c>
      <c r="O28">
        <v>3.8564531359999998</v>
      </c>
    </row>
    <row r="29" spans="1:23" x14ac:dyDescent="0.2">
      <c r="B29">
        <v>8</v>
      </c>
      <c r="C29">
        <v>8.7133130000000003E-3</v>
      </c>
      <c r="D29">
        <v>2.1448232040000001</v>
      </c>
      <c r="E29">
        <v>1.0472861519999901</v>
      </c>
      <c r="F29">
        <v>2.9183026000000001E-2</v>
      </c>
      <c r="G29">
        <v>4.4538538999999898E-2</v>
      </c>
      <c r="H29">
        <v>3.6871602000000003E-2</v>
      </c>
      <c r="I29">
        <v>6.6206591999999898E-2</v>
      </c>
      <c r="J29">
        <v>0.19683993899999999</v>
      </c>
      <c r="K29">
        <v>0.179565534</v>
      </c>
      <c r="L29">
        <v>9.1347406999999894E-2</v>
      </c>
      <c r="M29">
        <v>8.2143919999999992E-3</v>
      </c>
      <c r="N29">
        <v>0.4497024</v>
      </c>
      <c r="O29">
        <v>3.858994359</v>
      </c>
    </row>
    <row r="30" spans="1:23" x14ac:dyDescent="0.2">
      <c r="B30">
        <v>9</v>
      </c>
      <c r="C30">
        <v>8.4028799999999893E-3</v>
      </c>
      <c r="D30">
        <v>2.1469754480000001</v>
      </c>
      <c r="E30">
        <v>1.0468386810000001</v>
      </c>
      <c r="F30">
        <v>2.8865365999999899E-2</v>
      </c>
      <c r="G30">
        <v>4.4143889999999901E-2</v>
      </c>
      <c r="H30">
        <v>3.5647194999999902E-2</v>
      </c>
      <c r="I30">
        <v>6.5592365999999999E-2</v>
      </c>
      <c r="J30">
        <v>0.196845152</v>
      </c>
      <c r="K30">
        <v>0.178845474999999</v>
      </c>
      <c r="L30">
        <v>8.9413038999999903E-2</v>
      </c>
      <c r="M30">
        <v>7.9153360000000002E-3</v>
      </c>
      <c r="N30">
        <v>0.44695031600000001</v>
      </c>
      <c r="O30">
        <v>3.85463252</v>
      </c>
      <c r="P30" s="1"/>
      <c r="Q30" s="1"/>
      <c r="R30" s="1"/>
      <c r="S30" s="1"/>
      <c r="T30" s="1"/>
      <c r="U30" s="1"/>
    </row>
    <row r="31" spans="1:23" x14ac:dyDescent="0.2">
      <c r="B31" s="1" t="s">
        <v>15</v>
      </c>
      <c r="C31">
        <v>8.6978428999999902E-3</v>
      </c>
      <c r="D31">
        <v>2.1440668835999999</v>
      </c>
      <c r="E31">
        <v>1.0465184562999901</v>
      </c>
      <c r="F31">
        <v>2.9168577599999902E-2</v>
      </c>
      <c r="G31">
        <v>4.4588313399999899E-2</v>
      </c>
      <c r="H31">
        <v>3.6971592300000002E-2</v>
      </c>
      <c r="I31">
        <v>6.6324445399999904E-2</v>
      </c>
      <c r="J31">
        <v>0.19717181449999999</v>
      </c>
      <c r="K31">
        <v>0.17942726099999901</v>
      </c>
      <c r="L31">
        <v>9.1216295699999894E-2</v>
      </c>
      <c r="M31">
        <v>8.2264312999999999E-3</v>
      </c>
      <c r="N31">
        <v>0.45838897270000001</v>
      </c>
      <c r="O31">
        <v>3.8578270240999899</v>
      </c>
    </row>
    <row r="32" spans="1:23" x14ac:dyDescent="0.2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4" spans="1:15" x14ac:dyDescent="0.2">
      <c r="A34" t="s">
        <v>45</v>
      </c>
      <c r="B34" t="s">
        <v>46</v>
      </c>
    </row>
    <row r="35" spans="1:15" x14ac:dyDescent="0.2">
      <c r="C35" s="6" t="s">
        <v>2</v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</row>
    <row r="36" spans="1:15" x14ac:dyDescent="0.2">
      <c r="B36" s="1" t="s">
        <v>20</v>
      </c>
      <c r="C36" s="1" t="s">
        <v>4</v>
      </c>
      <c r="D36" s="1" t="s">
        <v>5</v>
      </c>
      <c r="E36" s="1" t="s">
        <v>21</v>
      </c>
      <c r="F36" s="1" t="s">
        <v>22</v>
      </c>
      <c r="G36" s="1" t="s">
        <v>23</v>
      </c>
      <c r="H36" s="1" t="s">
        <v>6</v>
      </c>
      <c r="I36" s="1" t="s">
        <v>7</v>
      </c>
      <c r="J36" s="1" t="s">
        <v>8</v>
      </c>
      <c r="K36" s="1" t="s">
        <v>24</v>
      </c>
      <c r="L36" s="1" t="s">
        <v>25</v>
      </c>
      <c r="M36" s="1" t="s">
        <v>9</v>
      </c>
      <c r="N36" s="1" t="s">
        <v>10</v>
      </c>
      <c r="O36" s="1" t="s">
        <v>11</v>
      </c>
    </row>
    <row r="37" spans="1:15" x14ac:dyDescent="0.2">
      <c r="B37">
        <v>0</v>
      </c>
      <c r="C37">
        <v>8.4084250000000006E-3</v>
      </c>
      <c r="D37">
        <v>2.14211897399999</v>
      </c>
      <c r="E37">
        <v>1.045809327</v>
      </c>
      <c r="F37">
        <v>2.8866763E-2</v>
      </c>
      <c r="G37">
        <v>4.388413E-2</v>
      </c>
      <c r="H37">
        <v>3.4577213000000002E-2</v>
      </c>
      <c r="I37">
        <v>6.7034670999999907E-2</v>
      </c>
      <c r="J37">
        <v>0.195878635</v>
      </c>
      <c r="K37">
        <v>0.17896035800000001</v>
      </c>
      <c r="L37">
        <v>9.0551898000000006E-2</v>
      </c>
      <c r="M37">
        <v>7.9322999999999998E-3</v>
      </c>
      <c r="N37">
        <v>0.53856061399999999</v>
      </c>
      <c r="O37">
        <v>3.8490818789999999</v>
      </c>
    </row>
    <row r="38" spans="1:15" x14ac:dyDescent="0.2">
      <c r="B38">
        <v>1</v>
      </c>
      <c r="C38">
        <v>8.8367530000000097E-3</v>
      </c>
      <c r="D38">
        <v>2.1461788659999899</v>
      </c>
      <c r="E38">
        <v>1.047236321</v>
      </c>
      <c r="F38">
        <v>2.9317447999999999E-2</v>
      </c>
      <c r="G38">
        <v>4.4274709999999898E-2</v>
      </c>
      <c r="H38">
        <v>3.6097047E-2</v>
      </c>
      <c r="I38">
        <v>6.6300170999999894E-2</v>
      </c>
      <c r="J38">
        <v>0.19662448599999999</v>
      </c>
      <c r="K38">
        <v>0.179566694999999</v>
      </c>
      <c r="L38">
        <v>9.3277573999999905E-2</v>
      </c>
      <c r="M38">
        <v>8.3406969999999907E-3</v>
      </c>
      <c r="N38">
        <v>0.44528986300000001</v>
      </c>
      <c r="O38">
        <v>3.8614412640000002</v>
      </c>
    </row>
    <row r="39" spans="1:15" x14ac:dyDescent="0.2">
      <c r="B39">
        <v>2</v>
      </c>
      <c r="C39">
        <v>8.4013809999999908E-3</v>
      </c>
      <c r="D39">
        <v>2.1457221539999898</v>
      </c>
      <c r="E39">
        <v>1.0469276809999899</v>
      </c>
      <c r="F39">
        <v>2.88643699999999E-2</v>
      </c>
      <c r="G39">
        <v>4.38927179999999E-2</v>
      </c>
      <c r="H39">
        <v>3.4748609E-2</v>
      </c>
      <c r="I39">
        <v>6.5827711999999997E-2</v>
      </c>
      <c r="J39">
        <v>0.195761413</v>
      </c>
      <c r="K39">
        <v>0.17894832899999999</v>
      </c>
      <c r="L39">
        <v>9.0484562000000004E-2</v>
      </c>
      <c r="M39">
        <v>7.9231249999999996E-3</v>
      </c>
      <c r="N39">
        <v>0.44516963199999998</v>
      </c>
      <c r="O39">
        <v>3.8525553480000001</v>
      </c>
    </row>
    <row r="40" spans="1:15" x14ac:dyDescent="0.2">
      <c r="B40">
        <v>3</v>
      </c>
      <c r="C40">
        <v>8.1889359999999904E-3</v>
      </c>
      <c r="D40">
        <v>2.1432276670000001</v>
      </c>
      <c r="E40">
        <v>1.04511970199999</v>
      </c>
      <c r="F40">
        <v>2.8622807E-2</v>
      </c>
      <c r="G40">
        <v>4.3585851000000002E-2</v>
      </c>
      <c r="H40">
        <v>3.3923304999999897E-2</v>
      </c>
      <c r="I40">
        <v>6.5401062999999801E-2</v>
      </c>
      <c r="J40">
        <v>0.195705622</v>
      </c>
      <c r="K40">
        <v>0.178683486999999</v>
      </c>
      <c r="L40">
        <v>8.9088328999999897E-2</v>
      </c>
      <c r="M40">
        <v>7.7178919999999996E-3</v>
      </c>
      <c r="N40">
        <v>0.46249815</v>
      </c>
      <c r="O40">
        <v>3.8441940780000001</v>
      </c>
    </row>
    <row r="41" spans="1:15" x14ac:dyDescent="0.2">
      <c r="B41">
        <v>4</v>
      </c>
      <c r="C41">
        <v>8.5523330000000005E-3</v>
      </c>
      <c r="D41">
        <v>2.1444940629999998</v>
      </c>
      <c r="E41">
        <v>1.0468213279999901</v>
      </c>
      <c r="F41">
        <v>2.9012818999999999E-2</v>
      </c>
      <c r="G41">
        <v>4.4025124999999901E-2</v>
      </c>
      <c r="H41">
        <v>3.5369392999999999E-2</v>
      </c>
      <c r="I41">
        <v>6.6033198999999904E-2</v>
      </c>
      <c r="J41">
        <v>0.196141128999999</v>
      </c>
      <c r="K41">
        <v>0.17905067999999899</v>
      </c>
      <c r="L41">
        <v>9.1679668000000006E-2</v>
      </c>
      <c r="M41">
        <v>8.0947339999999993E-3</v>
      </c>
      <c r="N41">
        <v>0.44371747</v>
      </c>
      <c r="O41">
        <v>3.8544855939999998</v>
      </c>
    </row>
    <row r="42" spans="1:15" x14ac:dyDescent="0.2">
      <c r="B42">
        <v>5</v>
      </c>
      <c r="C42">
        <v>8.9650219999999892E-3</v>
      </c>
      <c r="D42">
        <v>2.1491522719999998</v>
      </c>
      <c r="E42">
        <v>1.0475914900000001</v>
      </c>
      <c r="F42">
        <v>2.9551639000000001E-2</v>
      </c>
      <c r="G42">
        <v>4.4557169000000001E-2</v>
      </c>
      <c r="H42">
        <v>3.68122899999999E-2</v>
      </c>
      <c r="I42">
        <v>6.6757142000000005E-2</v>
      </c>
      <c r="J42">
        <v>0.19666529899999999</v>
      </c>
      <c r="K42">
        <v>0.179838110999999</v>
      </c>
      <c r="L42">
        <v>9.4256983999999905E-2</v>
      </c>
      <c r="M42">
        <v>8.4891669999999902E-3</v>
      </c>
      <c r="N42">
        <v>0.44684113600000003</v>
      </c>
      <c r="O42">
        <v>3.8680423099999999</v>
      </c>
    </row>
    <row r="43" spans="1:15" x14ac:dyDescent="0.2">
      <c r="B43">
        <v>6</v>
      </c>
      <c r="C43">
        <v>8.1294999999999996E-3</v>
      </c>
      <c r="D43">
        <v>2.146860963</v>
      </c>
      <c r="E43">
        <v>1.0466599080000001</v>
      </c>
      <c r="F43">
        <v>2.8504241999999898E-2</v>
      </c>
      <c r="G43">
        <v>4.3533756E-2</v>
      </c>
      <c r="H43">
        <v>3.3422326000000002E-2</v>
      </c>
      <c r="I43">
        <v>6.5331969000000004E-2</v>
      </c>
      <c r="J43">
        <v>0.19581132800000001</v>
      </c>
      <c r="K43">
        <v>0.178630708999999</v>
      </c>
      <c r="L43">
        <v>8.8776638999999893E-2</v>
      </c>
      <c r="M43">
        <v>7.6553610000000003E-3</v>
      </c>
      <c r="N43">
        <v>0.44814855799999997</v>
      </c>
      <c r="O43">
        <v>3.8481778809999998</v>
      </c>
    </row>
    <row r="44" spans="1:15" x14ac:dyDescent="0.2">
      <c r="B44">
        <v>7</v>
      </c>
      <c r="C44">
        <v>8.3967690000000001E-3</v>
      </c>
      <c r="D44">
        <v>2.1447384230000002</v>
      </c>
      <c r="E44">
        <v>1.046099608</v>
      </c>
      <c r="F44">
        <v>2.8788595999999899E-2</v>
      </c>
      <c r="G44">
        <v>4.38000289999999E-2</v>
      </c>
      <c r="H44">
        <v>3.4915270999999998E-2</v>
      </c>
      <c r="I44">
        <v>6.5766543999999899E-2</v>
      </c>
      <c r="J44">
        <v>0.195771795999999</v>
      </c>
      <c r="K44">
        <v>0.179008424</v>
      </c>
      <c r="L44">
        <v>9.0458474999999997E-2</v>
      </c>
      <c r="M44">
        <v>7.8830629999999992E-3</v>
      </c>
      <c r="N44">
        <v>0.44299303400000001</v>
      </c>
      <c r="O44">
        <v>3.8506642320000002</v>
      </c>
    </row>
    <row r="45" spans="1:15" x14ac:dyDescent="0.2">
      <c r="B45">
        <v>8</v>
      </c>
      <c r="C45">
        <v>8.4589869999999994E-3</v>
      </c>
      <c r="D45">
        <v>2.1435457630000001</v>
      </c>
      <c r="E45">
        <v>1.046839906</v>
      </c>
      <c r="F45">
        <v>2.8931327E-2</v>
      </c>
      <c r="G45">
        <v>4.40602469999999E-2</v>
      </c>
      <c r="H45">
        <v>3.4958596999999897E-2</v>
      </c>
      <c r="I45">
        <v>6.5951259999999901E-2</v>
      </c>
      <c r="J45">
        <v>0.19617252499999999</v>
      </c>
      <c r="K45">
        <v>0.17920471499999999</v>
      </c>
      <c r="L45">
        <v>9.0981923000000006E-2</v>
      </c>
      <c r="M45">
        <v>7.9860980000000005E-3</v>
      </c>
      <c r="N45">
        <v>0.44616598099999999</v>
      </c>
      <c r="O45">
        <v>3.852177905</v>
      </c>
    </row>
    <row r="46" spans="1:15" x14ac:dyDescent="0.2">
      <c r="B46">
        <v>9</v>
      </c>
      <c r="C46">
        <v>8.1506649999999996E-3</v>
      </c>
      <c r="D46">
        <v>2.142186288</v>
      </c>
      <c r="E46">
        <v>1.0449620279999901</v>
      </c>
      <c r="F46">
        <v>2.85731129999999E-2</v>
      </c>
      <c r="G46">
        <v>4.3544003999999997E-2</v>
      </c>
      <c r="H46">
        <v>3.3612029999999897E-2</v>
      </c>
      <c r="I46">
        <v>6.5100814000000007E-2</v>
      </c>
      <c r="J46">
        <v>0.19581399699999899</v>
      </c>
      <c r="K46">
        <v>0.17864790999999999</v>
      </c>
      <c r="L46">
        <v>8.8978452999999999E-2</v>
      </c>
      <c r="M46">
        <v>7.6991799999999999E-3</v>
      </c>
      <c r="N46">
        <v>0.44268644200000001</v>
      </c>
      <c r="O46">
        <v>3.842150299</v>
      </c>
    </row>
    <row r="47" spans="1:15" x14ac:dyDescent="0.2">
      <c r="B47" s="1" t="s">
        <v>15</v>
      </c>
      <c r="C47">
        <v>8.4488771000000001E-3</v>
      </c>
      <c r="D47">
        <v>2.1448225433000001</v>
      </c>
      <c r="E47">
        <v>1.0464067298999999</v>
      </c>
      <c r="F47">
        <v>2.8903312399999999E-2</v>
      </c>
      <c r="G47">
        <v>4.3915773899999899E-2</v>
      </c>
      <c r="H47">
        <v>3.4843608099999999E-2</v>
      </c>
      <c r="I47">
        <v>6.5950454499999894E-2</v>
      </c>
      <c r="J47">
        <v>0.19603462299999999</v>
      </c>
      <c r="K47">
        <v>0.17905394179999901</v>
      </c>
      <c r="L47">
        <v>9.0853450500000002E-2</v>
      </c>
      <c r="M47">
        <v>7.9721617000000009E-3</v>
      </c>
      <c r="N47">
        <v>0.45620708799999998</v>
      </c>
      <c r="O47">
        <v>3.852297079</v>
      </c>
    </row>
    <row r="48" spans="1:15" x14ac:dyDescent="0.2">
      <c r="F48" t="s">
        <v>44</v>
      </c>
    </row>
  </sheetData>
  <mergeCells count="3">
    <mergeCell ref="C3:O3"/>
    <mergeCell ref="C19:O19"/>
    <mergeCell ref="C35:O3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7374F-425A-0C4A-B316-973C7C980C22}">
  <dimension ref="A1:U47"/>
  <sheetViews>
    <sheetView workbookViewId="0">
      <selection activeCell="C15" sqref="C15:O15"/>
    </sheetView>
  </sheetViews>
  <sheetFormatPr baseColWidth="10" defaultRowHeight="16" x14ac:dyDescent="0.2"/>
  <cols>
    <col min="3" max="3" width="16.6640625" bestFit="1" customWidth="1"/>
    <col min="4" max="4" width="21.83203125" bestFit="1" customWidth="1"/>
    <col min="5" max="5" width="15.33203125" bestFit="1" customWidth="1"/>
    <col min="6" max="6" width="18.5" bestFit="1" customWidth="1"/>
    <col min="7" max="7" width="19.5" bestFit="1" customWidth="1"/>
    <col min="8" max="8" width="16.5" bestFit="1" customWidth="1"/>
    <col min="9" max="9" width="20.1640625" bestFit="1" customWidth="1"/>
    <col min="10" max="10" width="22.5" bestFit="1" customWidth="1"/>
    <col min="11" max="11" width="12.33203125" bestFit="1" customWidth="1"/>
    <col min="12" max="12" width="14.5" bestFit="1" customWidth="1"/>
    <col min="13" max="13" width="17" bestFit="1" customWidth="1"/>
    <col min="14" max="14" width="15.83203125" bestFit="1" customWidth="1"/>
    <col min="15" max="15" width="21" bestFit="1" customWidth="1"/>
    <col min="16" max="16" width="12.1640625" bestFit="1" customWidth="1"/>
    <col min="17" max="17" width="16.33203125" bestFit="1" customWidth="1"/>
    <col min="18" max="21" width="12.1640625" bestFit="1" customWidth="1"/>
  </cols>
  <sheetData>
    <row r="1" spans="1:15" x14ac:dyDescent="0.2">
      <c r="A1" s="1" t="s">
        <v>0</v>
      </c>
      <c r="B1" s="1" t="s">
        <v>1</v>
      </c>
    </row>
    <row r="2" spans="1:15" x14ac:dyDescent="0.2">
      <c r="A2" t="s">
        <v>3</v>
      </c>
      <c r="B2" t="s">
        <v>35</v>
      </c>
    </row>
    <row r="3" spans="1:15" x14ac:dyDescent="0.2">
      <c r="C3" s="6" t="s">
        <v>2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</row>
    <row r="4" spans="1:15" x14ac:dyDescent="0.2">
      <c r="B4" s="1" t="s">
        <v>20</v>
      </c>
      <c r="C4" s="1" t="s">
        <v>4</v>
      </c>
      <c r="D4" s="1" t="s">
        <v>5</v>
      </c>
      <c r="E4" s="1" t="s">
        <v>21</v>
      </c>
      <c r="F4" s="1" t="s">
        <v>22</v>
      </c>
      <c r="G4" s="1" t="s">
        <v>23</v>
      </c>
      <c r="H4" s="1" t="s">
        <v>6</v>
      </c>
      <c r="I4" s="1" t="s">
        <v>7</v>
      </c>
      <c r="J4" s="1" t="s">
        <v>8</v>
      </c>
      <c r="K4" s="1" t="s">
        <v>24</v>
      </c>
      <c r="L4" s="1" t="s">
        <v>25</v>
      </c>
      <c r="M4" s="1" t="s">
        <v>9</v>
      </c>
      <c r="N4" s="1" t="s">
        <v>10</v>
      </c>
      <c r="O4" s="1" t="s">
        <v>11</v>
      </c>
    </row>
    <row r="5" spans="1:15" x14ac:dyDescent="0.2">
      <c r="B5">
        <v>0</v>
      </c>
      <c r="C5">
        <v>9.3097879999999907E-3</v>
      </c>
      <c r="D5">
        <v>2.1488762789999898</v>
      </c>
      <c r="E5">
        <v>1.0539188069999901</v>
      </c>
      <c r="F5">
        <v>2.9197339999999902E-2</v>
      </c>
      <c r="G5">
        <v>0.34283127099999899</v>
      </c>
      <c r="H5">
        <v>4.2284149E-2</v>
      </c>
      <c r="I5">
        <v>0.21663006799999901</v>
      </c>
      <c r="J5">
        <v>0.27448300199999898</v>
      </c>
      <c r="K5">
        <v>5.6620507669999904</v>
      </c>
      <c r="L5">
        <v>0.107030531999999</v>
      </c>
      <c r="M5">
        <v>8.7201250000000004E-3</v>
      </c>
      <c r="N5">
        <v>0.41548659500000001</v>
      </c>
      <c r="O5">
        <v>9.9015123030000005</v>
      </c>
    </row>
    <row r="6" spans="1:15" x14ac:dyDescent="0.2">
      <c r="B6">
        <v>1</v>
      </c>
      <c r="C6">
        <v>8.87015299999999E-3</v>
      </c>
      <c r="D6">
        <v>2.1457051009999999</v>
      </c>
      <c r="E6">
        <v>1.0531014030000001</v>
      </c>
      <c r="F6">
        <v>2.8696355999999999E-2</v>
      </c>
      <c r="G6">
        <v>0.34229790999999998</v>
      </c>
      <c r="H6">
        <v>4.1165145E-2</v>
      </c>
      <c r="I6">
        <v>0.21595103800000001</v>
      </c>
      <c r="J6">
        <v>0.27386646599999898</v>
      </c>
      <c r="K6">
        <v>5.6590463270000004</v>
      </c>
      <c r="L6">
        <v>0.104489874</v>
      </c>
      <c r="M6">
        <v>8.3175430000000002E-3</v>
      </c>
      <c r="N6">
        <v>0.40865064699999998</v>
      </c>
      <c r="O6">
        <v>9.8873562239999995</v>
      </c>
    </row>
    <row r="7" spans="1:15" x14ac:dyDescent="0.2">
      <c r="B7">
        <v>2</v>
      </c>
      <c r="C7">
        <v>8.7842299999999901E-3</v>
      </c>
      <c r="D7">
        <v>2.1495150070000002</v>
      </c>
      <c r="E7">
        <v>1.05269562899999</v>
      </c>
      <c r="F7">
        <v>2.8576515E-2</v>
      </c>
      <c r="G7">
        <v>0.342145333</v>
      </c>
      <c r="H7">
        <v>4.1307662999999897E-2</v>
      </c>
      <c r="I7">
        <v>0.215874914</v>
      </c>
      <c r="J7">
        <v>0.27381263299999897</v>
      </c>
      <c r="K7">
        <v>5.6573674870000001</v>
      </c>
      <c r="L7">
        <v>0.103848286</v>
      </c>
      <c r="M7">
        <v>8.206316E-3</v>
      </c>
      <c r="N7">
        <v>0.41299791400000002</v>
      </c>
      <c r="O7">
        <v>9.8878634939999994</v>
      </c>
    </row>
    <row r="8" spans="1:15" x14ac:dyDescent="0.2">
      <c r="B8">
        <v>3</v>
      </c>
      <c r="C8">
        <v>8.8986800000000008E-3</v>
      </c>
      <c r="D8">
        <v>2.1458610809999898</v>
      </c>
      <c r="E8">
        <v>1.05311803</v>
      </c>
      <c r="F8">
        <v>2.8765297999999901E-2</v>
      </c>
      <c r="G8">
        <v>0.34238838699999902</v>
      </c>
      <c r="H8">
        <v>4.1288969999999897E-2</v>
      </c>
      <c r="I8">
        <v>0.215852238</v>
      </c>
      <c r="J8">
        <v>0.27392359799999999</v>
      </c>
      <c r="K8">
        <v>5.6602726039999904</v>
      </c>
      <c r="L8">
        <v>0.104304866999999</v>
      </c>
      <c r="M8">
        <v>8.3148309999999895E-3</v>
      </c>
      <c r="N8">
        <v>0.41153926000000002</v>
      </c>
      <c r="O8">
        <v>9.8888501140000002</v>
      </c>
    </row>
    <row r="9" spans="1:15" x14ac:dyDescent="0.2">
      <c r="B9">
        <v>4</v>
      </c>
      <c r="C9">
        <v>8.9722619999999999E-3</v>
      </c>
      <c r="D9">
        <v>2.1486140219999998</v>
      </c>
      <c r="E9">
        <v>1.05302556</v>
      </c>
      <c r="F9">
        <v>2.8889371E-2</v>
      </c>
      <c r="G9">
        <v>0.34224692299999998</v>
      </c>
      <c r="H9">
        <v>4.1214776000000002E-2</v>
      </c>
      <c r="I9">
        <v>0.21599089099999899</v>
      </c>
      <c r="J9">
        <v>0.274184399999999</v>
      </c>
      <c r="K9">
        <v>5.6594501749999999</v>
      </c>
      <c r="L9">
        <v>0.10499541499999999</v>
      </c>
      <c r="M9">
        <v>8.3722190000000002E-3</v>
      </c>
      <c r="N9">
        <v>0.40777895800000002</v>
      </c>
      <c r="O9">
        <v>9.8918570300000006</v>
      </c>
    </row>
    <row r="10" spans="1:15" x14ac:dyDescent="0.2">
      <c r="B10">
        <v>5</v>
      </c>
      <c r="C10">
        <v>8.9040420000000096E-3</v>
      </c>
      <c r="D10">
        <v>2.1449356179999901</v>
      </c>
      <c r="E10">
        <v>1.052380254</v>
      </c>
      <c r="F10">
        <v>2.8681158999999901E-2</v>
      </c>
      <c r="G10">
        <v>0.34204067799999999</v>
      </c>
      <c r="H10">
        <v>4.1014923999999897E-2</v>
      </c>
      <c r="I10">
        <v>0.21588449999999901</v>
      </c>
      <c r="J10">
        <v>0.27391188700000002</v>
      </c>
      <c r="K10">
        <v>5.6575270579999897</v>
      </c>
      <c r="L10">
        <v>0.104178654</v>
      </c>
      <c r="M10">
        <v>8.2956369999999998E-3</v>
      </c>
      <c r="N10">
        <v>0.411222747</v>
      </c>
      <c r="O10">
        <v>9.8835980499999998</v>
      </c>
    </row>
    <row r="11" spans="1:15" x14ac:dyDescent="0.2">
      <c r="B11">
        <v>6</v>
      </c>
      <c r="C11">
        <v>8.8083310000000008E-3</v>
      </c>
      <c r="D11">
        <v>2.1456434139999998</v>
      </c>
      <c r="E11">
        <v>1.0515439289999899</v>
      </c>
      <c r="F11">
        <v>2.8689487999999999E-2</v>
      </c>
      <c r="G11">
        <v>0.34203865699999902</v>
      </c>
      <c r="H11">
        <v>4.1336783000000002E-2</v>
      </c>
      <c r="I11">
        <v>0.215620384999999</v>
      </c>
      <c r="J11">
        <v>0.273809468</v>
      </c>
      <c r="K11">
        <v>5.6539985189999999</v>
      </c>
      <c r="L11">
        <v>0.104102898</v>
      </c>
      <c r="M11">
        <v>8.2603389999999898E-3</v>
      </c>
      <c r="N11">
        <v>0.40829695300000002</v>
      </c>
      <c r="O11">
        <v>9.8796853660000004</v>
      </c>
    </row>
    <row r="12" spans="1:15" x14ac:dyDescent="0.2">
      <c r="B12">
        <v>7</v>
      </c>
      <c r="C12">
        <v>8.9313589999999998E-3</v>
      </c>
      <c r="D12">
        <v>2.14503955899999</v>
      </c>
      <c r="E12">
        <v>1.05139160199999</v>
      </c>
      <c r="F12">
        <v>2.8792518999999999E-2</v>
      </c>
      <c r="G12">
        <v>0.34215099399999999</v>
      </c>
      <c r="H12">
        <v>4.1524462999999998E-2</v>
      </c>
      <c r="I12">
        <v>0.21580933999999999</v>
      </c>
      <c r="J12">
        <v>0.27356324299999901</v>
      </c>
      <c r="K12">
        <v>5.6510851229999997</v>
      </c>
      <c r="L12">
        <v>0.104696914999999</v>
      </c>
      <c r="M12">
        <v>8.3650040000000005E-3</v>
      </c>
      <c r="N12">
        <v>0.41453902599999998</v>
      </c>
      <c r="O12">
        <v>9.8773556360000008</v>
      </c>
    </row>
    <row r="13" spans="1:15" x14ac:dyDescent="0.2">
      <c r="B13">
        <v>8</v>
      </c>
      <c r="C13">
        <v>8.8575859999999902E-3</v>
      </c>
      <c r="D13">
        <v>2.1456643519999998</v>
      </c>
      <c r="E13">
        <v>1.0509046479999999</v>
      </c>
      <c r="F13">
        <v>2.8702197999999901E-2</v>
      </c>
      <c r="G13">
        <v>0.342052253999999</v>
      </c>
      <c r="H13">
        <v>4.0960823E-2</v>
      </c>
      <c r="I13">
        <v>0.21559569399999901</v>
      </c>
      <c r="J13">
        <v>0.27359536600000001</v>
      </c>
      <c r="K13">
        <v>5.6501432489999903</v>
      </c>
      <c r="L13">
        <v>0.10411530299999899</v>
      </c>
      <c r="M13">
        <v>8.2566219999999999E-3</v>
      </c>
      <c r="N13">
        <v>0.41718707799999999</v>
      </c>
      <c r="O13">
        <v>9.8747145239999998</v>
      </c>
    </row>
    <row r="14" spans="1:15" x14ac:dyDescent="0.2">
      <c r="B14">
        <v>9</v>
      </c>
      <c r="C14">
        <v>8.8088229999999899E-3</v>
      </c>
      <c r="D14">
        <v>2.1431565019999899</v>
      </c>
      <c r="E14">
        <v>1.0505737020000001</v>
      </c>
      <c r="F14">
        <v>2.8612571999999999E-2</v>
      </c>
      <c r="G14">
        <v>0.342099176</v>
      </c>
      <c r="H14">
        <v>4.0831309000000003E-2</v>
      </c>
      <c r="I14">
        <v>0.215556468999999</v>
      </c>
      <c r="J14">
        <v>0.27367729399999902</v>
      </c>
      <c r="K14">
        <v>5.6533580299999899</v>
      </c>
      <c r="L14">
        <v>0.103645451</v>
      </c>
      <c r="M14">
        <v>8.2154229999999908E-3</v>
      </c>
      <c r="N14">
        <v>0.41007865799999998</v>
      </c>
      <c r="O14">
        <v>9.8743695210000002</v>
      </c>
    </row>
    <row r="15" spans="1:15" x14ac:dyDescent="0.2">
      <c r="B15" s="1" t="s">
        <v>16</v>
      </c>
      <c r="C15">
        <v>8.9145253999999997E-3</v>
      </c>
      <c r="D15">
        <v>2.1463010935</v>
      </c>
      <c r="E15">
        <v>1.0522653564</v>
      </c>
      <c r="F15">
        <v>2.87602816E-2</v>
      </c>
      <c r="G15">
        <v>0.3422291583</v>
      </c>
      <c r="H15">
        <v>4.12929005E-2</v>
      </c>
      <c r="I15">
        <v>0.215876553699999</v>
      </c>
      <c r="J15">
        <v>0.27388273569999899</v>
      </c>
      <c r="K15">
        <v>5.6564299338999904</v>
      </c>
      <c r="L15">
        <v>0.10454081950000001</v>
      </c>
      <c r="M15">
        <v>8.3324058999999992E-3</v>
      </c>
      <c r="N15">
        <v>0.4117777836</v>
      </c>
      <c r="O15">
        <v>9.8847162262000001</v>
      </c>
    </row>
    <row r="18" spans="1:21" x14ac:dyDescent="0.2">
      <c r="A18" s="2" t="s">
        <v>36</v>
      </c>
      <c r="B18" t="s">
        <v>37</v>
      </c>
    </row>
    <row r="19" spans="1:21" x14ac:dyDescent="0.2">
      <c r="B19" s="6" t="s">
        <v>2</v>
      </c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"/>
      <c r="Q19" s="1"/>
      <c r="R19" s="1"/>
      <c r="S19" s="1"/>
      <c r="T19" s="1"/>
      <c r="U19" s="1"/>
    </row>
    <row r="20" spans="1:21" x14ac:dyDescent="0.2">
      <c r="B20" s="1" t="s">
        <v>20</v>
      </c>
      <c r="C20" s="1" t="s">
        <v>4</v>
      </c>
      <c r="D20" s="1" t="s">
        <v>5</v>
      </c>
      <c r="E20" s="1" t="s">
        <v>21</v>
      </c>
      <c r="F20" s="1" t="s">
        <v>22</v>
      </c>
      <c r="G20" s="1" t="s">
        <v>23</v>
      </c>
      <c r="H20" s="1" t="s">
        <v>6</v>
      </c>
      <c r="I20" s="1" t="s">
        <v>7</v>
      </c>
      <c r="J20" s="1" t="s">
        <v>8</v>
      </c>
      <c r="K20" s="1" t="s">
        <v>24</v>
      </c>
      <c r="L20" s="1" t="s">
        <v>25</v>
      </c>
      <c r="M20" s="1" t="s">
        <v>9</v>
      </c>
      <c r="N20" s="1" t="s">
        <v>10</v>
      </c>
      <c r="O20" s="1" t="s">
        <v>11</v>
      </c>
    </row>
    <row r="21" spans="1:21" x14ac:dyDescent="0.2">
      <c r="B21">
        <v>0</v>
      </c>
      <c r="C21">
        <v>8.7420239999999993E-3</v>
      </c>
      <c r="D21">
        <v>2.1458880470000001</v>
      </c>
      <c r="E21">
        <v>1.0523243680000001</v>
      </c>
      <c r="F21">
        <v>2.8668619999999999E-2</v>
      </c>
      <c r="G21">
        <v>0.31737900799999902</v>
      </c>
      <c r="H21">
        <v>4.0627407999999997E-2</v>
      </c>
      <c r="I21">
        <v>0.19495354400000001</v>
      </c>
      <c r="J21">
        <v>0.24658667299999901</v>
      </c>
      <c r="K21">
        <v>5.3975061169999998</v>
      </c>
      <c r="L21">
        <v>0.104188326999999</v>
      </c>
      <c r="M21">
        <v>8.2359159999999994E-3</v>
      </c>
      <c r="N21">
        <v>0.41214874699999998</v>
      </c>
      <c r="O21">
        <v>9.5508736289999998</v>
      </c>
    </row>
    <row r="22" spans="1:21" x14ac:dyDescent="0.2">
      <c r="B22">
        <v>1</v>
      </c>
      <c r="C22">
        <v>9.1857769999999991E-3</v>
      </c>
      <c r="D22">
        <v>2.15225389899999</v>
      </c>
      <c r="E22">
        <v>1.0541247649999901</v>
      </c>
      <c r="F22">
        <v>2.9254575000000001E-2</v>
      </c>
      <c r="G22">
        <v>0.31798273499999902</v>
      </c>
      <c r="H22">
        <v>4.2024951999999997E-2</v>
      </c>
      <c r="I22">
        <v>0.19592426199999999</v>
      </c>
      <c r="J22">
        <v>0.24737295199999901</v>
      </c>
      <c r="K22">
        <v>5.3989590319999996</v>
      </c>
      <c r="L22">
        <v>0.10716178</v>
      </c>
      <c r="M22">
        <v>8.6879269999999894E-3</v>
      </c>
      <c r="N22">
        <v>0.40863754600000002</v>
      </c>
      <c r="O22">
        <v>9.5688981450000004</v>
      </c>
    </row>
    <row r="23" spans="1:21" x14ac:dyDescent="0.2">
      <c r="B23">
        <v>2</v>
      </c>
      <c r="C23">
        <v>8.90747699999999E-3</v>
      </c>
      <c r="D23">
        <v>2.146657163</v>
      </c>
      <c r="E23">
        <v>1.0525494500000001</v>
      </c>
      <c r="F23">
        <v>2.8804786999999901E-2</v>
      </c>
      <c r="G23">
        <v>0.31754247199999902</v>
      </c>
      <c r="H23">
        <v>4.1019148999999998E-2</v>
      </c>
      <c r="I23">
        <v>0.195130999999999</v>
      </c>
      <c r="J23">
        <v>0.247119635</v>
      </c>
      <c r="K23">
        <v>5.3988462940000002</v>
      </c>
      <c r="L23">
        <v>0.104714501</v>
      </c>
      <c r="M23">
        <v>8.3387840000000001E-3</v>
      </c>
      <c r="N23">
        <v>0.41359675899999998</v>
      </c>
      <c r="O23">
        <v>9.5554612589999994</v>
      </c>
    </row>
    <row r="24" spans="1:21" x14ac:dyDescent="0.2">
      <c r="B24">
        <v>3</v>
      </c>
      <c r="C24">
        <v>8.92232099999999E-3</v>
      </c>
      <c r="D24">
        <v>2.1467607160000002</v>
      </c>
      <c r="E24">
        <v>1.0532285459999999</v>
      </c>
      <c r="F24">
        <v>2.8922006999999899E-2</v>
      </c>
      <c r="G24">
        <v>0.31766810000000001</v>
      </c>
      <c r="H24">
        <v>4.1457900999999901E-2</v>
      </c>
      <c r="I24">
        <v>0.19543292600000001</v>
      </c>
      <c r="J24">
        <v>0.247072757</v>
      </c>
      <c r="K24">
        <v>5.3977446310000001</v>
      </c>
      <c r="L24">
        <v>0.105217032999999</v>
      </c>
      <c r="M24">
        <v>8.3695829999999895E-3</v>
      </c>
      <c r="N24">
        <v>0.407324725</v>
      </c>
      <c r="O24">
        <v>9.556583818</v>
      </c>
    </row>
    <row r="25" spans="1:21" x14ac:dyDescent="0.2">
      <c r="B25">
        <v>4</v>
      </c>
      <c r="C25">
        <v>8.7159030000000005E-3</v>
      </c>
      <c r="D25">
        <v>2.14676110799999</v>
      </c>
      <c r="E25">
        <v>1.0515819739999901</v>
      </c>
      <c r="F25">
        <v>2.8685794999999899E-2</v>
      </c>
      <c r="G25">
        <v>0.317266512</v>
      </c>
      <c r="H25">
        <v>4.0447702000000002E-2</v>
      </c>
      <c r="I25">
        <v>0.194996322999999</v>
      </c>
      <c r="J25">
        <v>0.246926602999999</v>
      </c>
      <c r="K25">
        <v>5.3960020519999903</v>
      </c>
      <c r="L25">
        <v>0.104089050999999</v>
      </c>
      <c r="M25">
        <v>8.2138929999999999E-3</v>
      </c>
      <c r="N25">
        <v>0.41024681000000002</v>
      </c>
      <c r="O25">
        <v>9.5493775460000005</v>
      </c>
    </row>
    <row r="26" spans="1:21" x14ac:dyDescent="0.2">
      <c r="B26">
        <v>5</v>
      </c>
      <c r="C26">
        <v>8.7435589999999997E-3</v>
      </c>
      <c r="D26">
        <v>2.1466348359999898</v>
      </c>
      <c r="E26">
        <v>1.0521730739999899</v>
      </c>
      <c r="F26">
        <v>2.8647795999999899E-2</v>
      </c>
      <c r="G26">
        <v>0.31744942099999901</v>
      </c>
      <c r="H26">
        <v>4.0493016999999902E-2</v>
      </c>
      <c r="I26">
        <v>0.194909267</v>
      </c>
      <c r="J26">
        <v>0.24664833899999999</v>
      </c>
      <c r="K26">
        <v>5.3982058940000002</v>
      </c>
      <c r="L26">
        <v>0.103891185</v>
      </c>
      <c r="M26">
        <v>8.1876469999999906E-3</v>
      </c>
      <c r="N26">
        <v>0.40844799500000001</v>
      </c>
      <c r="O26">
        <v>9.5516757259999991</v>
      </c>
    </row>
    <row r="27" spans="1:21" x14ac:dyDescent="0.2">
      <c r="B27">
        <v>6</v>
      </c>
      <c r="C27">
        <v>8.9096559999999898E-3</v>
      </c>
      <c r="D27">
        <v>2.14527582099999</v>
      </c>
      <c r="E27">
        <v>1.0531012769999899</v>
      </c>
      <c r="F27">
        <v>2.8887180999999901E-2</v>
      </c>
      <c r="G27">
        <v>0.31765686999999898</v>
      </c>
      <c r="H27">
        <v>4.0911822E-2</v>
      </c>
      <c r="I27">
        <v>0.195163694999999</v>
      </c>
      <c r="J27">
        <v>0.24668068300000001</v>
      </c>
      <c r="K27">
        <v>5.3974873819999898</v>
      </c>
      <c r="L27">
        <v>0.105166236</v>
      </c>
      <c r="M27">
        <v>8.3776529999999901E-3</v>
      </c>
      <c r="N27">
        <v>0.409478964</v>
      </c>
      <c r="O27">
        <v>9.5534641919999999</v>
      </c>
    </row>
    <row r="28" spans="1:21" x14ac:dyDescent="0.2">
      <c r="B28">
        <v>7</v>
      </c>
      <c r="C28">
        <v>9.0999559999999993E-3</v>
      </c>
      <c r="D28">
        <v>2.1465977340000002</v>
      </c>
      <c r="E28">
        <v>1.052448555</v>
      </c>
      <c r="F28">
        <v>2.9003450999999899E-2</v>
      </c>
      <c r="G28">
        <v>0.31771707900000001</v>
      </c>
      <c r="H28">
        <v>4.1902809999999999E-2</v>
      </c>
      <c r="I28">
        <v>0.19523359499999901</v>
      </c>
      <c r="J28">
        <v>0.247277199</v>
      </c>
      <c r="K28">
        <v>5.3935883599999901</v>
      </c>
      <c r="L28">
        <v>0.106074029999999</v>
      </c>
      <c r="M28">
        <v>8.5228509999999997E-3</v>
      </c>
      <c r="N28">
        <v>0.411708403</v>
      </c>
      <c r="O28">
        <v>9.5533898110000006</v>
      </c>
    </row>
    <row r="29" spans="1:21" x14ac:dyDescent="0.2">
      <c r="B29">
        <v>8</v>
      </c>
      <c r="C29">
        <v>8.9562429999999991E-3</v>
      </c>
      <c r="D29">
        <v>2.1427968139999898</v>
      </c>
      <c r="E29">
        <v>1.051391741</v>
      </c>
      <c r="F29">
        <v>2.8953277999999999E-2</v>
      </c>
      <c r="G29">
        <v>0.317647503</v>
      </c>
      <c r="H29">
        <v>4.1166384E-2</v>
      </c>
      <c r="I29">
        <v>0.19475875199999901</v>
      </c>
      <c r="J29">
        <v>0.24696109899999899</v>
      </c>
      <c r="K29">
        <v>5.3926752159999998</v>
      </c>
      <c r="L29">
        <v>0.105271266</v>
      </c>
      <c r="M29">
        <v>8.4329309999999907E-3</v>
      </c>
      <c r="N29">
        <v>0.41360141</v>
      </c>
      <c r="O29">
        <v>9.5448348270000007</v>
      </c>
    </row>
    <row r="30" spans="1:21" x14ac:dyDescent="0.2">
      <c r="B30">
        <v>9</v>
      </c>
      <c r="C30">
        <v>8.8230589999999907E-3</v>
      </c>
      <c r="D30">
        <v>2.1458936039999901</v>
      </c>
      <c r="E30">
        <v>1.0502883890000001</v>
      </c>
      <c r="F30">
        <v>2.8674236999999901E-2</v>
      </c>
      <c r="G30">
        <v>0.31727411299999903</v>
      </c>
      <c r="H30">
        <v>4.0073719000000001E-2</v>
      </c>
      <c r="I30">
        <v>0.19431110599999901</v>
      </c>
      <c r="J30">
        <v>0.24652654299999899</v>
      </c>
      <c r="K30">
        <v>5.3928965949999901</v>
      </c>
      <c r="L30">
        <v>0.10408403200000001</v>
      </c>
      <c r="M30">
        <v>8.2438869999999897E-3</v>
      </c>
      <c r="N30">
        <v>0.41110613800000001</v>
      </c>
      <c r="O30">
        <v>9.5427983590000007</v>
      </c>
      <c r="P30" s="1"/>
      <c r="Q30" s="1"/>
      <c r="R30" s="1"/>
      <c r="S30" s="1"/>
      <c r="T30" s="1"/>
      <c r="U30" s="1"/>
    </row>
    <row r="31" spans="1:21" x14ac:dyDescent="0.2">
      <c r="B31" s="1" t="s">
        <v>15</v>
      </c>
      <c r="C31" s="7">
        <v>8.9005999999999998E-3</v>
      </c>
      <c r="D31" s="7">
        <v>2.14655197</v>
      </c>
      <c r="E31" s="7">
        <v>1.0523212099999999</v>
      </c>
      <c r="F31" s="7">
        <v>2.8850170000000001E-2</v>
      </c>
      <c r="G31" s="7">
        <v>0.31755837999999997</v>
      </c>
      <c r="H31" s="7">
        <v>4.1012489999999999E-2</v>
      </c>
      <c r="I31" s="7">
        <v>0.19508144999999999</v>
      </c>
      <c r="J31" s="7">
        <v>0.24691725</v>
      </c>
      <c r="K31" s="7">
        <v>5.3963911600000003</v>
      </c>
      <c r="L31" s="7">
        <v>0.10498573999999999</v>
      </c>
      <c r="M31" s="7">
        <v>8.3611099999999997E-3</v>
      </c>
      <c r="N31" s="7">
        <v>0.41062975000000002</v>
      </c>
      <c r="O31" s="7">
        <v>9.5527357300000002</v>
      </c>
    </row>
    <row r="32" spans="1:21" x14ac:dyDescent="0.2"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4" spans="1:15" x14ac:dyDescent="0.2">
      <c r="A34" t="s">
        <v>45</v>
      </c>
      <c r="B34" t="s">
        <v>46</v>
      </c>
    </row>
    <row r="35" spans="1:15" x14ac:dyDescent="0.2">
      <c r="B35" s="6" t="s">
        <v>2</v>
      </c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</row>
    <row r="36" spans="1:15" x14ac:dyDescent="0.2">
      <c r="B36" s="1" t="s">
        <v>20</v>
      </c>
      <c r="C36" s="1" t="s">
        <v>4</v>
      </c>
      <c r="D36" s="1" t="s">
        <v>5</v>
      </c>
      <c r="E36" s="1" t="s">
        <v>21</v>
      </c>
      <c r="F36" s="1" t="s">
        <v>22</v>
      </c>
      <c r="G36" s="1" t="s">
        <v>23</v>
      </c>
      <c r="H36" s="1" t="s">
        <v>6</v>
      </c>
      <c r="I36" s="1" t="s">
        <v>7</v>
      </c>
      <c r="J36" s="1" t="s">
        <v>8</v>
      </c>
      <c r="K36" s="1" t="s">
        <v>24</v>
      </c>
      <c r="L36" s="1" t="s">
        <v>25</v>
      </c>
      <c r="M36" s="1" t="s">
        <v>9</v>
      </c>
      <c r="N36" s="1" t="s">
        <v>10</v>
      </c>
      <c r="O36" s="1" t="s">
        <v>11</v>
      </c>
    </row>
    <row r="37" spans="1:15" x14ac:dyDescent="0.2">
      <c r="B37">
        <v>0</v>
      </c>
      <c r="C37">
        <v>8.2710300000000004E-3</v>
      </c>
      <c r="D37">
        <v>2.144726973</v>
      </c>
      <c r="E37">
        <v>1.04839091299999</v>
      </c>
      <c r="F37">
        <v>2.8221165999999999E-2</v>
      </c>
      <c r="G37">
        <v>0.256621983</v>
      </c>
      <c r="H37">
        <v>3.5442299999999899E-2</v>
      </c>
      <c r="I37">
        <v>0.209033733</v>
      </c>
      <c r="J37">
        <v>0.26204041699999903</v>
      </c>
      <c r="K37">
        <v>1.166610744</v>
      </c>
      <c r="L37">
        <v>0.102695627</v>
      </c>
      <c r="M37">
        <v>7.7592770000000002E-3</v>
      </c>
      <c r="N37">
        <v>0.41624150700000001</v>
      </c>
      <c r="O37">
        <v>5.274969542</v>
      </c>
    </row>
    <row r="38" spans="1:15" x14ac:dyDescent="0.2">
      <c r="B38">
        <v>1</v>
      </c>
      <c r="C38">
        <v>8.8507570000000008E-3</v>
      </c>
      <c r="D38">
        <v>2.1480198819999998</v>
      </c>
      <c r="E38">
        <v>1.05078020099999</v>
      </c>
      <c r="F38">
        <v>2.89375339999999E-2</v>
      </c>
      <c r="G38">
        <v>0.25715911699999899</v>
      </c>
      <c r="H38">
        <v>3.7984291999999899E-2</v>
      </c>
      <c r="I38">
        <v>0.20912863800000001</v>
      </c>
      <c r="J38">
        <v>0.26297930000000003</v>
      </c>
      <c r="K38">
        <v>1.1679178769999901</v>
      </c>
      <c r="L38">
        <v>0.10655920199999901</v>
      </c>
      <c r="M38">
        <v>8.3384059999999892E-3</v>
      </c>
      <c r="N38">
        <v>0.40651543499999998</v>
      </c>
      <c r="O38">
        <v>5.2921017570000002</v>
      </c>
    </row>
    <row r="39" spans="1:15" x14ac:dyDescent="0.2">
      <c r="B39">
        <v>2</v>
      </c>
      <c r="C39">
        <v>9.0767340000000099E-3</v>
      </c>
      <c r="D39">
        <v>2.1510982289999898</v>
      </c>
      <c r="E39">
        <v>1.0510655359999901</v>
      </c>
      <c r="F39">
        <v>2.9137688999999901E-2</v>
      </c>
      <c r="G39">
        <v>0.25766387099999899</v>
      </c>
      <c r="H39">
        <v>3.9060867999999901E-2</v>
      </c>
      <c r="I39">
        <v>0.209638989</v>
      </c>
      <c r="J39">
        <v>0.26332510199999998</v>
      </c>
      <c r="K39">
        <v>1.1679397</v>
      </c>
      <c r="L39">
        <v>0.10808731000000001</v>
      </c>
      <c r="M39">
        <v>8.5964659999999901E-3</v>
      </c>
      <c r="N39">
        <v>0.40458283900000003</v>
      </c>
      <c r="O39">
        <v>5.300259606</v>
      </c>
    </row>
    <row r="40" spans="1:15" x14ac:dyDescent="0.2">
      <c r="B40">
        <v>3</v>
      </c>
      <c r="C40">
        <v>8.4025990000000002E-3</v>
      </c>
      <c r="D40">
        <v>2.1415766679999901</v>
      </c>
      <c r="E40">
        <v>1.0469557039999999</v>
      </c>
      <c r="F40">
        <v>2.8336543999999901E-2</v>
      </c>
      <c r="G40">
        <v>0.25670921899999999</v>
      </c>
      <c r="H40">
        <v>3.6974686E-2</v>
      </c>
      <c r="I40">
        <v>0.20807959100000001</v>
      </c>
      <c r="J40">
        <v>0.262132052</v>
      </c>
      <c r="K40">
        <v>1.1659534999999901</v>
      </c>
      <c r="L40">
        <v>0.103687978</v>
      </c>
      <c r="M40">
        <v>7.9209939999999902E-3</v>
      </c>
      <c r="N40">
        <v>0.41707414399999998</v>
      </c>
      <c r="O40">
        <v>5.2719269669999997</v>
      </c>
    </row>
    <row r="41" spans="1:15" x14ac:dyDescent="0.2">
      <c r="B41">
        <v>4</v>
      </c>
      <c r="C41">
        <v>8.6413419999999998E-3</v>
      </c>
      <c r="D41">
        <v>2.1450146669999999</v>
      </c>
      <c r="E41">
        <v>1.0480831930000001</v>
      </c>
      <c r="F41">
        <v>2.86174079999999E-2</v>
      </c>
      <c r="G41">
        <v>0.25705757299999898</v>
      </c>
      <c r="H41">
        <v>3.6601094000000001E-2</v>
      </c>
      <c r="I41">
        <v>0.20838456699999999</v>
      </c>
      <c r="J41">
        <v>0.262708463</v>
      </c>
      <c r="K41">
        <v>1.1661016500000001</v>
      </c>
      <c r="L41">
        <v>0.104940512999999</v>
      </c>
      <c r="M41">
        <v>8.1405449999999904E-3</v>
      </c>
      <c r="N41">
        <v>0.41182733999999999</v>
      </c>
      <c r="O41">
        <v>5.279591001</v>
      </c>
    </row>
    <row r="42" spans="1:15" x14ac:dyDescent="0.2">
      <c r="B42">
        <v>5</v>
      </c>
      <c r="C42">
        <v>8.4156739999999997E-3</v>
      </c>
      <c r="D42">
        <v>2.141985687</v>
      </c>
      <c r="E42">
        <v>1.04731469699999</v>
      </c>
      <c r="F42">
        <v>2.8402839999999901E-2</v>
      </c>
      <c r="G42">
        <v>0.256695219999999</v>
      </c>
      <c r="H42">
        <v>3.6237851000000001E-2</v>
      </c>
      <c r="I42">
        <v>0.20798603199999899</v>
      </c>
      <c r="J42">
        <v>0.261969493</v>
      </c>
      <c r="K42">
        <v>1.16676671199999</v>
      </c>
      <c r="L42">
        <v>0.103618311999999</v>
      </c>
      <c r="M42">
        <v>7.9235269999999892E-3</v>
      </c>
      <c r="N42">
        <v>0.40984965299999998</v>
      </c>
      <c r="O42">
        <v>5.2724612510000002</v>
      </c>
    </row>
    <row r="43" spans="1:15" x14ac:dyDescent="0.2">
      <c r="B43">
        <v>6</v>
      </c>
      <c r="C43">
        <v>8.2383869999999998E-3</v>
      </c>
      <c r="D43">
        <v>2.1420877059999999</v>
      </c>
      <c r="E43">
        <v>1.0471414219999999</v>
      </c>
      <c r="F43">
        <v>2.8175888999999999E-2</v>
      </c>
      <c r="G43">
        <v>0.25643255500000001</v>
      </c>
      <c r="H43">
        <v>3.5498069E-2</v>
      </c>
      <c r="I43">
        <v>0.207782729</v>
      </c>
      <c r="J43">
        <v>0.263455260999999</v>
      </c>
      <c r="K43">
        <v>1.165426184</v>
      </c>
      <c r="L43">
        <v>0.102502511</v>
      </c>
      <c r="M43">
        <v>7.7561870000000003E-3</v>
      </c>
      <c r="N43">
        <v>0.407271351</v>
      </c>
      <c r="O43">
        <v>5.2694695359999999</v>
      </c>
    </row>
    <row r="44" spans="1:15" x14ac:dyDescent="0.2">
      <c r="B44">
        <v>7</v>
      </c>
      <c r="C44">
        <v>8.4441599999999992E-3</v>
      </c>
      <c r="D44">
        <v>2.1461067709999999</v>
      </c>
      <c r="E44">
        <v>1.0473015080000001</v>
      </c>
      <c r="F44">
        <v>2.8412941999999899E-2</v>
      </c>
      <c r="G44">
        <v>0.256695326</v>
      </c>
      <c r="H44">
        <v>3.6272139000000002E-2</v>
      </c>
      <c r="I44">
        <v>0.208146047</v>
      </c>
      <c r="J44">
        <v>0.26203471900000003</v>
      </c>
      <c r="K44">
        <v>1.1671487060000001</v>
      </c>
      <c r="L44">
        <v>0.103628346</v>
      </c>
      <c r="M44">
        <v>7.9229790000000001E-3</v>
      </c>
      <c r="N44">
        <v>0.408046668</v>
      </c>
      <c r="O44">
        <v>5.2773714519999997</v>
      </c>
    </row>
    <row r="45" spans="1:15" x14ac:dyDescent="0.2">
      <c r="B45">
        <v>8</v>
      </c>
      <c r="C45">
        <v>8.3528599999999897E-3</v>
      </c>
      <c r="D45">
        <v>2.1411450889999899</v>
      </c>
      <c r="E45">
        <v>1.0473896789999999</v>
      </c>
      <c r="F45">
        <v>2.8364056999999901E-2</v>
      </c>
      <c r="G45">
        <v>0.256587758</v>
      </c>
      <c r="H45">
        <v>3.6065028999999901E-2</v>
      </c>
      <c r="I45">
        <v>0.20788573999999899</v>
      </c>
      <c r="J45">
        <v>0.26208355999999999</v>
      </c>
      <c r="K45">
        <v>1.1658875310000001</v>
      </c>
      <c r="L45">
        <v>0.10328122300000001</v>
      </c>
      <c r="M45">
        <v>7.8672189999999895E-3</v>
      </c>
      <c r="N45">
        <v>0.41004148499999998</v>
      </c>
      <c r="O45">
        <v>5.270001519</v>
      </c>
    </row>
    <row r="46" spans="1:15" x14ac:dyDescent="0.2">
      <c r="B46">
        <v>9</v>
      </c>
      <c r="C46">
        <v>8.2530229999999895E-3</v>
      </c>
      <c r="D46">
        <v>2.1419900520000001</v>
      </c>
      <c r="E46">
        <v>1.047237765</v>
      </c>
      <c r="F46">
        <v>2.8193209999999899E-2</v>
      </c>
      <c r="G46">
        <v>0.25645679100000002</v>
      </c>
      <c r="H46">
        <v>3.5445033999999903E-2</v>
      </c>
      <c r="I46">
        <v>0.207790682</v>
      </c>
      <c r="J46">
        <v>0.26185338199999902</v>
      </c>
      <c r="K46">
        <v>1.1660516829999901</v>
      </c>
      <c r="L46">
        <v>0.10273948199999999</v>
      </c>
      <c r="M46">
        <v>7.7823799999999898E-3</v>
      </c>
      <c r="N46">
        <v>0.40946078899999999</v>
      </c>
      <c r="O46">
        <v>5.2688293039999996</v>
      </c>
    </row>
    <row r="47" spans="1:15" x14ac:dyDescent="0.2">
      <c r="B47" s="1" t="s">
        <v>15</v>
      </c>
      <c r="C47" s="7">
        <v>8.4946599999999994E-3</v>
      </c>
      <c r="D47" s="7">
        <v>2.14437517</v>
      </c>
      <c r="E47" s="7">
        <v>1.04816606</v>
      </c>
      <c r="F47" s="7">
        <v>2.8479930000000001E-2</v>
      </c>
      <c r="G47" s="7">
        <v>0.25680794000000001</v>
      </c>
      <c r="H47" s="7">
        <v>3.6558140000000003E-2</v>
      </c>
      <c r="I47" s="7">
        <v>0.20838567</v>
      </c>
      <c r="J47" s="7">
        <v>0.26245816999999999</v>
      </c>
      <c r="K47" s="7">
        <v>1.16658043</v>
      </c>
      <c r="L47" s="7">
        <v>0.10417405</v>
      </c>
      <c r="M47" s="7">
        <v>8.0008000000000006E-3</v>
      </c>
      <c r="N47" s="7">
        <v>0.41009111999999998</v>
      </c>
      <c r="O47" s="7">
        <v>5.2776981899999997</v>
      </c>
    </row>
  </sheetData>
  <mergeCells count="3">
    <mergeCell ref="C3:O3"/>
    <mergeCell ref="B19:O19"/>
    <mergeCell ref="B35:O3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3BDD0-3A87-544A-A16E-D142A4C1F8FB}">
  <dimension ref="A1:U47"/>
  <sheetViews>
    <sheetView workbookViewId="0">
      <selection activeCell="C15" sqref="C15:O15"/>
    </sheetView>
  </sheetViews>
  <sheetFormatPr baseColWidth="10" defaultRowHeight="16" x14ac:dyDescent="0.2"/>
  <cols>
    <col min="3" max="3" width="16.6640625" bestFit="1" customWidth="1"/>
    <col min="4" max="4" width="21.83203125" bestFit="1" customWidth="1"/>
    <col min="5" max="5" width="14.1640625" bestFit="1" customWidth="1"/>
    <col min="6" max="6" width="13" bestFit="1" customWidth="1"/>
    <col min="7" max="7" width="13.83203125" bestFit="1" customWidth="1"/>
    <col min="8" max="8" width="15.33203125" bestFit="1" customWidth="1"/>
    <col min="9" max="9" width="12.1640625" bestFit="1" customWidth="1"/>
    <col min="10" max="10" width="15.5" bestFit="1" customWidth="1"/>
    <col min="11" max="11" width="12.1640625" bestFit="1" customWidth="1"/>
    <col min="12" max="12" width="14.5" bestFit="1" customWidth="1"/>
    <col min="13" max="15" width="12.1640625" bestFit="1" customWidth="1"/>
  </cols>
  <sheetData>
    <row r="1" spans="1:15" x14ac:dyDescent="0.2">
      <c r="A1" s="1" t="s">
        <v>0</v>
      </c>
      <c r="B1" s="1" t="s">
        <v>1</v>
      </c>
    </row>
    <row r="2" spans="1:15" x14ac:dyDescent="0.2">
      <c r="A2" t="s">
        <v>3</v>
      </c>
      <c r="B2" t="s">
        <v>35</v>
      </c>
    </row>
    <row r="3" spans="1:15" x14ac:dyDescent="0.2">
      <c r="C3" s="6" t="s">
        <v>2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</row>
    <row r="4" spans="1:15" x14ac:dyDescent="0.2">
      <c r="B4" s="1" t="s">
        <v>20</v>
      </c>
      <c r="C4" s="1" t="s">
        <v>4</v>
      </c>
      <c r="D4" s="1" t="s">
        <v>5</v>
      </c>
      <c r="E4" s="1" t="s">
        <v>21</v>
      </c>
      <c r="F4" s="1" t="s">
        <v>22</v>
      </c>
      <c r="G4" s="1" t="s">
        <v>23</v>
      </c>
      <c r="H4" s="1" t="s">
        <v>6</v>
      </c>
      <c r="I4" s="1" t="s">
        <v>7</v>
      </c>
      <c r="J4" s="1" t="s">
        <v>8</v>
      </c>
      <c r="K4" s="1" t="s">
        <v>24</v>
      </c>
      <c r="L4" s="1" t="s">
        <v>25</v>
      </c>
      <c r="M4" s="1" t="s">
        <v>9</v>
      </c>
      <c r="N4" s="1" t="s">
        <v>10</v>
      </c>
      <c r="O4" s="1" t="s">
        <v>11</v>
      </c>
    </row>
    <row r="5" spans="1:15" x14ac:dyDescent="0.2">
      <c r="B5">
        <v>0</v>
      </c>
      <c r="C5">
        <v>8.6400230000000001E-3</v>
      </c>
      <c r="D5">
        <v>2.1433645749999899</v>
      </c>
      <c r="E5">
        <v>1.04600035899999</v>
      </c>
      <c r="F5">
        <v>2.91484089999999E-2</v>
      </c>
      <c r="G5">
        <v>4.45088199999999E-2</v>
      </c>
      <c r="H5">
        <v>3.6760659000000001E-2</v>
      </c>
      <c r="I5">
        <v>6.5861222999999997E-2</v>
      </c>
      <c r="J5">
        <v>0.19732766399999899</v>
      </c>
      <c r="K5">
        <v>0.17925290199999999</v>
      </c>
      <c r="L5">
        <v>9.0958026999999997E-2</v>
      </c>
      <c r="M5">
        <v>8.1809559999999892E-3</v>
      </c>
      <c r="N5">
        <v>0.44453028</v>
      </c>
      <c r="O5">
        <v>3.855453877</v>
      </c>
    </row>
    <row r="6" spans="1:15" x14ac:dyDescent="0.2">
      <c r="B6">
        <v>1</v>
      </c>
      <c r="C6">
        <v>9.0733229999999995E-3</v>
      </c>
      <c r="D6">
        <v>2.1460036119999901</v>
      </c>
      <c r="E6">
        <v>1.047631277</v>
      </c>
      <c r="F6">
        <v>2.96098229999999E-2</v>
      </c>
      <c r="G6">
        <v>4.4938842999999999E-2</v>
      </c>
      <c r="H6">
        <v>3.8409319999999997E-2</v>
      </c>
      <c r="I6">
        <v>6.7657958999999906E-2</v>
      </c>
      <c r="J6">
        <v>0.19806712200000001</v>
      </c>
      <c r="K6">
        <v>0.17972602100000001</v>
      </c>
      <c r="L6">
        <v>9.3654194999999996E-2</v>
      </c>
      <c r="M6">
        <v>8.6324769999999995E-3</v>
      </c>
      <c r="N6">
        <v>0.44835820199999998</v>
      </c>
      <c r="O6">
        <v>3.869160173</v>
      </c>
    </row>
    <row r="7" spans="1:15" x14ac:dyDescent="0.2">
      <c r="B7">
        <v>2</v>
      </c>
      <c r="C7">
        <v>8.6097350000000003E-3</v>
      </c>
      <c r="D7">
        <v>2.1444226849999999</v>
      </c>
      <c r="E7">
        <v>1.04713613899999</v>
      </c>
      <c r="F7">
        <v>2.9123717E-2</v>
      </c>
      <c r="G7">
        <v>4.4471073999999902E-2</v>
      </c>
      <c r="H7">
        <v>3.6911540999999999E-2</v>
      </c>
      <c r="I7">
        <v>6.580213E-2</v>
      </c>
      <c r="J7">
        <v>0.19681290000000001</v>
      </c>
      <c r="K7">
        <v>0.17924232199999901</v>
      </c>
      <c r="L7">
        <v>9.0833365999999902E-2</v>
      </c>
      <c r="M7">
        <v>8.1634980000000103E-3</v>
      </c>
      <c r="N7">
        <v>0.44662110799999999</v>
      </c>
      <c r="O7">
        <v>3.8569442</v>
      </c>
    </row>
    <row r="8" spans="1:15" x14ac:dyDescent="0.2">
      <c r="B8">
        <v>3</v>
      </c>
      <c r="C8">
        <v>8.4337779999999994E-3</v>
      </c>
      <c r="D8">
        <v>2.1440532039999902</v>
      </c>
      <c r="E8">
        <v>1.0452144839999999</v>
      </c>
      <c r="F8">
        <v>2.8834453999999898E-2</v>
      </c>
      <c r="G8">
        <v>4.4298102999999998E-2</v>
      </c>
      <c r="H8">
        <v>3.5815053999999999E-2</v>
      </c>
      <c r="I8">
        <v>6.5420035999999904E-2</v>
      </c>
      <c r="J8">
        <v>0.196947768</v>
      </c>
      <c r="K8">
        <v>0.17894576800000001</v>
      </c>
      <c r="L8">
        <v>8.9521908999999997E-2</v>
      </c>
      <c r="M8">
        <v>7.95363199999999E-3</v>
      </c>
      <c r="N8">
        <v>0.44596928200000002</v>
      </c>
      <c r="O8">
        <v>3.8507296370000001</v>
      </c>
    </row>
    <row r="9" spans="1:15" x14ac:dyDescent="0.2">
      <c r="B9">
        <v>4</v>
      </c>
      <c r="C9">
        <v>8.7968419999999992E-3</v>
      </c>
      <c r="D9">
        <v>2.14515308799999</v>
      </c>
      <c r="E9">
        <v>1.04692117399999</v>
      </c>
      <c r="F9">
        <v>2.9298556999999999E-2</v>
      </c>
      <c r="G9">
        <v>4.4689607999999999E-2</v>
      </c>
      <c r="H9">
        <v>3.7123349999999902E-2</v>
      </c>
      <c r="I9">
        <v>6.6068287000000003E-2</v>
      </c>
      <c r="J9">
        <v>0.19746928899999899</v>
      </c>
      <c r="K9">
        <v>0.179421478999999</v>
      </c>
      <c r="L9">
        <v>9.1863334999999893E-2</v>
      </c>
      <c r="M9">
        <v>8.3388319999999991E-3</v>
      </c>
      <c r="N9">
        <v>0.447057812</v>
      </c>
      <c r="O9">
        <v>3.8606846309999998</v>
      </c>
    </row>
    <row r="10" spans="1:15" x14ac:dyDescent="0.2">
      <c r="B10">
        <v>5</v>
      </c>
      <c r="C10">
        <v>9.2180100000000004E-3</v>
      </c>
      <c r="D10">
        <v>2.1477707779999999</v>
      </c>
      <c r="E10">
        <v>1.0477776620000001</v>
      </c>
      <c r="F10">
        <v>2.9790773E-2</v>
      </c>
      <c r="G10">
        <v>4.5186506000000001E-2</v>
      </c>
      <c r="H10">
        <v>3.8926496999999997E-2</v>
      </c>
      <c r="I10">
        <v>6.6790135E-2</v>
      </c>
      <c r="J10">
        <v>0.19857364399999999</v>
      </c>
      <c r="K10">
        <v>0.18007593599999999</v>
      </c>
      <c r="L10">
        <v>9.4613655999999893E-2</v>
      </c>
      <c r="M10">
        <v>8.7543129999999893E-3</v>
      </c>
      <c r="N10">
        <v>0.44722863299999999</v>
      </c>
      <c r="O10">
        <v>3.8733183879999999</v>
      </c>
    </row>
    <row r="11" spans="1:15" x14ac:dyDescent="0.2">
      <c r="B11">
        <v>6</v>
      </c>
      <c r="C11">
        <v>8.37370499999999E-3</v>
      </c>
      <c r="D11">
        <v>2.1438204789999999</v>
      </c>
      <c r="E11">
        <v>1.0457064810000001</v>
      </c>
      <c r="F11">
        <v>2.8764424999999899E-2</v>
      </c>
      <c r="G11">
        <v>4.4240396999999897E-2</v>
      </c>
      <c r="H11">
        <v>3.6355804999999901E-2</v>
      </c>
      <c r="I11">
        <v>6.5313045999999902E-2</v>
      </c>
      <c r="J11">
        <v>0.19690085299999999</v>
      </c>
      <c r="K11">
        <v>0.178932797999999</v>
      </c>
      <c r="L11">
        <v>8.9127679000000098E-2</v>
      </c>
      <c r="M11">
        <v>7.9079719999999992E-3</v>
      </c>
      <c r="N11">
        <v>0.44703655199999998</v>
      </c>
      <c r="O11">
        <v>3.8506570459999998</v>
      </c>
    </row>
    <row r="12" spans="1:15" x14ac:dyDescent="0.2">
      <c r="B12">
        <v>7</v>
      </c>
      <c r="C12">
        <v>8.5975649999999997E-3</v>
      </c>
      <c r="D12">
        <v>2.1425353669999998</v>
      </c>
      <c r="E12">
        <v>1.046254494</v>
      </c>
      <c r="F12">
        <v>2.9061061999999901E-2</v>
      </c>
      <c r="G12">
        <v>4.4533226999999898E-2</v>
      </c>
      <c r="H12">
        <v>3.6894897999999898E-2</v>
      </c>
      <c r="I12">
        <v>6.5747161999999901E-2</v>
      </c>
      <c r="J12">
        <v>0.19732001599999999</v>
      </c>
      <c r="K12">
        <v>0.17923672299999899</v>
      </c>
      <c r="L12">
        <v>9.0739542000000104E-2</v>
      </c>
      <c r="M12">
        <v>8.142257E-3</v>
      </c>
      <c r="N12">
        <v>0.44671761799999998</v>
      </c>
      <c r="O12">
        <v>3.8544733089999998</v>
      </c>
    </row>
    <row r="13" spans="1:15" x14ac:dyDescent="0.2">
      <c r="B13">
        <v>8</v>
      </c>
      <c r="C13">
        <v>8.6956860000000098E-3</v>
      </c>
      <c r="D13">
        <v>2.1451642049999999</v>
      </c>
      <c r="E13">
        <v>1.0469756699999899</v>
      </c>
      <c r="F13">
        <v>2.91941849999999E-2</v>
      </c>
      <c r="G13">
        <v>4.4649653999999997E-2</v>
      </c>
      <c r="H13">
        <v>3.6918403000000002E-2</v>
      </c>
      <c r="I13">
        <v>6.6027351000000095E-2</v>
      </c>
      <c r="J13">
        <v>0.19730018099999999</v>
      </c>
      <c r="K13">
        <v>0.17952875999999901</v>
      </c>
      <c r="L13">
        <v>9.1330585000000006E-2</v>
      </c>
      <c r="M13">
        <v>8.2507329999999997E-3</v>
      </c>
      <c r="N13">
        <v>0.44511183500000001</v>
      </c>
      <c r="O13">
        <v>3.8594711309999998</v>
      </c>
    </row>
    <row r="14" spans="1:15" x14ac:dyDescent="0.2">
      <c r="B14">
        <v>9</v>
      </c>
      <c r="C14">
        <v>8.4088469999999901E-3</v>
      </c>
      <c r="D14">
        <v>2.1419963149999899</v>
      </c>
      <c r="E14">
        <v>1.04565342699999</v>
      </c>
      <c r="F14">
        <v>2.8770748999999901E-2</v>
      </c>
      <c r="G14">
        <v>4.4258246000000001E-2</v>
      </c>
      <c r="H14">
        <v>3.6197239999999999E-2</v>
      </c>
      <c r="I14">
        <v>6.5326297000000005E-2</v>
      </c>
      <c r="J14">
        <v>0.19703371</v>
      </c>
      <c r="K14">
        <v>0.178848169</v>
      </c>
      <c r="L14">
        <v>8.9366921000000002E-2</v>
      </c>
      <c r="M14">
        <v>7.9306099999999994E-3</v>
      </c>
      <c r="N14">
        <v>0.44948972199999998</v>
      </c>
      <c r="O14">
        <v>3.8490768829999999</v>
      </c>
    </row>
    <row r="15" spans="1:15" x14ac:dyDescent="0.2">
      <c r="B15" s="1" t="s">
        <v>15</v>
      </c>
      <c r="C15">
        <v>8.6847513999999994E-3</v>
      </c>
      <c r="D15">
        <v>2.1444284307999899</v>
      </c>
      <c r="E15">
        <v>1.0465271166999901</v>
      </c>
      <c r="F15">
        <v>2.9159615399999901E-2</v>
      </c>
      <c r="G15">
        <v>4.4577447800000003E-2</v>
      </c>
      <c r="H15">
        <v>3.7031276699999997E-2</v>
      </c>
      <c r="I15">
        <v>6.6001362600000002E-2</v>
      </c>
      <c r="J15">
        <v>0.1973753147</v>
      </c>
      <c r="K15">
        <v>0.179321087799999</v>
      </c>
      <c r="L15">
        <v>9.1200921500000004E-2</v>
      </c>
      <c r="M15">
        <v>8.2255279999999993E-3</v>
      </c>
      <c r="N15">
        <v>0.44681210440000002</v>
      </c>
      <c r="O15">
        <v>3.8579969274999901</v>
      </c>
    </row>
    <row r="18" spans="1:21" x14ac:dyDescent="0.2">
      <c r="A18" s="2" t="s">
        <v>36</v>
      </c>
      <c r="B18" t="s">
        <v>37</v>
      </c>
    </row>
    <row r="19" spans="1:21" x14ac:dyDescent="0.2">
      <c r="B19" s="6" t="s">
        <v>2</v>
      </c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"/>
      <c r="Q19" s="1"/>
      <c r="R19" s="1"/>
      <c r="S19" s="1"/>
      <c r="T19" s="1"/>
      <c r="U19" s="1"/>
    </row>
    <row r="20" spans="1:21" x14ac:dyDescent="0.2">
      <c r="B20" s="1" t="s">
        <v>20</v>
      </c>
      <c r="C20" s="1" t="s">
        <v>4</v>
      </c>
      <c r="D20" s="1" t="s">
        <v>5</v>
      </c>
      <c r="E20" s="1" t="s">
        <v>21</v>
      </c>
      <c r="F20" s="1" t="s">
        <v>22</v>
      </c>
      <c r="G20" s="1" t="s">
        <v>23</v>
      </c>
      <c r="H20" s="1" t="s">
        <v>6</v>
      </c>
      <c r="I20" s="1" t="s">
        <v>7</v>
      </c>
      <c r="J20" s="1" t="s">
        <v>8</v>
      </c>
      <c r="K20" s="1" t="s">
        <v>24</v>
      </c>
      <c r="L20" s="1" t="s">
        <v>25</v>
      </c>
      <c r="M20" s="1" t="s">
        <v>9</v>
      </c>
      <c r="N20" s="1" t="s">
        <v>10</v>
      </c>
      <c r="O20" s="1" t="s">
        <v>11</v>
      </c>
    </row>
    <row r="21" spans="1:21" x14ac:dyDescent="0.2">
      <c r="B21">
        <v>0</v>
      </c>
      <c r="C21">
        <v>8.6272429999999893E-3</v>
      </c>
      <c r="D21">
        <v>2.1442267319999901</v>
      </c>
      <c r="E21">
        <v>1.04607233699999</v>
      </c>
      <c r="F21">
        <v>2.9064751999999999E-2</v>
      </c>
      <c r="G21">
        <v>4.4325399000000001E-2</v>
      </c>
      <c r="H21">
        <v>3.5655352999999897E-2</v>
      </c>
      <c r="I21">
        <v>6.5806572999999896E-2</v>
      </c>
      <c r="J21">
        <v>0.196928141</v>
      </c>
      <c r="K21">
        <v>0.17923244399999999</v>
      </c>
      <c r="L21">
        <v>9.0819518999999904E-2</v>
      </c>
      <c r="M21">
        <v>8.1378539999999895E-3</v>
      </c>
      <c r="N21">
        <v>0.44785973499999998</v>
      </c>
      <c r="O21">
        <v>3.8542219470000001</v>
      </c>
    </row>
    <row r="22" spans="1:21" x14ac:dyDescent="0.2">
      <c r="B22">
        <v>1</v>
      </c>
      <c r="C22">
        <v>9.0639970000000094E-3</v>
      </c>
      <c r="D22">
        <v>2.1457287749999998</v>
      </c>
      <c r="E22">
        <v>1.04726991999999</v>
      </c>
      <c r="F22">
        <v>2.9558371E-2</v>
      </c>
      <c r="G22">
        <v>4.4710499999999903E-2</v>
      </c>
      <c r="H22">
        <v>3.6980817999999999E-2</v>
      </c>
      <c r="I22">
        <v>6.62913589999998E-2</v>
      </c>
      <c r="J22">
        <v>0.198120297999999</v>
      </c>
      <c r="K22">
        <v>0.17979046500000001</v>
      </c>
      <c r="L22">
        <v>9.3567614999999896E-2</v>
      </c>
      <c r="M22">
        <v>8.5993990000000006E-3</v>
      </c>
      <c r="N22">
        <v>0.445669865</v>
      </c>
      <c r="O22">
        <v>3.865332853</v>
      </c>
    </row>
    <row r="23" spans="1:21" x14ac:dyDescent="0.2">
      <c r="B23">
        <v>2</v>
      </c>
      <c r="C23">
        <v>8.6201529999999898E-3</v>
      </c>
      <c r="D23">
        <v>2.1439294919999998</v>
      </c>
      <c r="E23">
        <v>1.0471354070000001</v>
      </c>
      <c r="F23">
        <v>2.9092960000000001E-2</v>
      </c>
      <c r="G23">
        <v>4.4365651999999998E-2</v>
      </c>
      <c r="H23">
        <v>3.5760395999999903E-2</v>
      </c>
      <c r="I23">
        <v>6.5809758999999995E-2</v>
      </c>
      <c r="J23">
        <v>0.197132114999999</v>
      </c>
      <c r="K23">
        <v>0.17915785400000001</v>
      </c>
      <c r="L23">
        <v>9.0767612999999997E-2</v>
      </c>
      <c r="M23">
        <v>8.1564110000000006E-3</v>
      </c>
      <c r="N23">
        <v>0.44836334100000003</v>
      </c>
      <c r="O23">
        <v>3.8553276150000002</v>
      </c>
    </row>
    <row r="24" spans="1:21" x14ac:dyDescent="0.2">
      <c r="B24">
        <v>3</v>
      </c>
      <c r="C24">
        <v>8.3730539999999892E-3</v>
      </c>
      <c r="D24">
        <v>2.141784393</v>
      </c>
      <c r="E24">
        <v>1.0452611109999901</v>
      </c>
      <c r="F24">
        <v>2.8828078E-2</v>
      </c>
      <c r="G24">
        <v>4.40811539999999E-2</v>
      </c>
      <c r="H24">
        <v>3.4755216999999998E-2</v>
      </c>
      <c r="I24">
        <v>6.5355694000000006E-2</v>
      </c>
      <c r="J24">
        <v>0.19674038499999899</v>
      </c>
      <c r="K24">
        <v>0.17874558500000001</v>
      </c>
      <c r="L24">
        <v>8.9399368000000007E-2</v>
      </c>
      <c r="M24">
        <v>7.9638009999999908E-3</v>
      </c>
      <c r="N24">
        <v>0.44529892399999998</v>
      </c>
      <c r="O24">
        <v>3.8464335580000002</v>
      </c>
    </row>
    <row r="25" spans="1:21" x14ac:dyDescent="0.2">
      <c r="B25">
        <v>4</v>
      </c>
      <c r="C25">
        <v>8.8321509999999895E-3</v>
      </c>
      <c r="D25">
        <v>2.14444473</v>
      </c>
      <c r="E25">
        <v>1.04699631399999</v>
      </c>
      <c r="F25">
        <v>2.9293360000000001E-2</v>
      </c>
      <c r="G25">
        <v>4.4562807999999898E-2</v>
      </c>
      <c r="H25">
        <v>3.6359095000000001E-2</v>
      </c>
      <c r="I25">
        <v>6.6056335999999993E-2</v>
      </c>
      <c r="J25">
        <v>0.19747340799999899</v>
      </c>
      <c r="K25">
        <v>0.17948834499999899</v>
      </c>
      <c r="L25">
        <v>9.1863099000000004E-2</v>
      </c>
      <c r="M25">
        <v>8.3397579999999992E-3</v>
      </c>
      <c r="N25">
        <v>0.447518203</v>
      </c>
      <c r="O25">
        <v>3.8591348569999999</v>
      </c>
    </row>
    <row r="26" spans="1:21" x14ac:dyDescent="0.2">
      <c r="B26">
        <v>5</v>
      </c>
      <c r="C26">
        <v>9.227865E-3</v>
      </c>
      <c r="D26">
        <v>2.147925002</v>
      </c>
      <c r="E26">
        <v>1.0477756389999899</v>
      </c>
      <c r="F26">
        <v>2.9745424999999999E-2</v>
      </c>
      <c r="G26">
        <v>4.4993203000000002E-2</v>
      </c>
      <c r="H26">
        <v>3.7619456000000003E-2</v>
      </c>
      <c r="I26">
        <v>6.6802206000000003E-2</v>
      </c>
      <c r="J26">
        <v>0.19827463299999901</v>
      </c>
      <c r="K26">
        <v>0.180016812</v>
      </c>
      <c r="L26">
        <v>9.4564311999999998E-2</v>
      </c>
      <c r="M26">
        <v>8.7516239999999995E-3</v>
      </c>
      <c r="N26">
        <v>0.448166289</v>
      </c>
      <c r="O26">
        <v>3.871457404</v>
      </c>
    </row>
    <row r="27" spans="1:21" x14ac:dyDescent="0.2">
      <c r="B27">
        <v>6</v>
      </c>
      <c r="C27">
        <v>8.3660450000000008E-3</v>
      </c>
      <c r="D27">
        <v>2.1425694979999901</v>
      </c>
      <c r="E27">
        <v>1.0455047879999899</v>
      </c>
      <c r="F27">
        <v>2.8757225000000001E-2</v>
      </c>
      <c r="G27">
        <v>4.4094949000000001E-2</v>
      </c>
      <c r="H27">
        <v>3.46214509999999E-2</v>
      </c>
      <c r="I27">
        <v>6.5312492999999902E-2</v>
      </c>
      <c r="J27">
        <v>0.19684512000000001</v>
      </c>
      <c r="K27">
        <v>0.17890672099999999</v>
      </c>
      <c r="L27">
        <v>8.9051450999999907E-2</v>
      </c>
      <c r="M27">
        <v>7.8885489999999895E-3</v>
      </c>
      <c r="N27">
        <v>0.446664536</v>
      </c>
      <c r="O27">
        <v>3.8471683049999998</v>
      </c>
    </row>
    <row r="28" spans="1:21" x14ac:dyDescent="0.2">
      <c r="B28">
        <v>7</v>
      </c>
      <c r="C28">
        <v>8.6072749999999993E-3</v>
      </c>
      <c r="D28">
        <v>2.14285237299999</v>
      </c>
      <c r="E28">
        <v>1.0460227230000001</v>
      </c>
      <c r="F28">
        <v>2.9069723999999901E-2</v>
      </c>
      <c r="G28">
        <v>4.4348373999999899E-2</v>
      </c>
      <c r="H28">
        <v>3.5444426000000001E-2</v>
      </c>
      <c r="I28">
        <v>6.5706253999999895E-2</v>
      </c>
      <c r="J28">
        <v>0.19707962400000001</v>
      </c>
      <c r="K28">
        <v>0.17923372899999901</v>
      </c>
      <c r="L28">
        <v>9.0687401999999903E-2</v>
      </c>
      <c r="M28">
        <v>8.1459259999999908E-3</v>
      </c>
      <c r="N28">
        <v>0.44716845</v>
      </c>
      <c r="O28">
        <v>3.8526611819999999</v>
      </c>
    </row>
    <row r="29" spans="1:21" x14ac:dyDescent="0.2">
      <c r="B29">
        <v>8</v>
      </c>
      <c r="C29">
        <v>8.6616019999999991E-3</v>
      </c>
      <c r="D29">
        <v>2.143993612</v>
      </c>
      <c r="E29">
        <v>1.04674251199999</v>
      </c>
      <c r="F29">
        <v>2.9219386999999899E-2</v>
      </c>
      <c r="G29">
        <v>4.4493770999999897E-2</v>
      </c>
      <c r="H29">
        <v>3.5934154000000003E-2</v>
      </c>
      <c r="I29">
        <v>6.5913596000000005E-2</v>
      </c>
      <c r="J29">
        <v>0.19743412599999899</v>
      </c>
      <c r="K29">
        <v>0.17936173899999899</v>
      </c>
      <c r="L29">
        <v>9.1249043999999904E-2</v>
      </c>
      <c r="M29">
        <v>8.2077130000000002E-3</v>
      </c>
      <c r="N29">
        <v>0.44751175300000001</v>
      </c>
      <c r="O29">
        <v>3.856666766</v>
      </c>
    </row>
    <row r="30" spans="1:21" x14ac:dyDescent="0.2">
      <c r="B30">
        <v>9</v>
      </c>
      <c r="C30">
        <v>8.4133639999999996E-3</v>
      </c>
      <c r="D30">
        <v>2.1414018859999899</v>
      </c>
      <c r="E30">
        <v>1.045618358</v>
      </c>
      <c r="F30">
        <v>2.8812933999999901E-2</v>
      </c>
      <c r="G30">
        <v>4.4101394999999897E-2</v>
      </c>
      <c r="H30">
        <v>3.5101808999999998E-2</v>
      </c>
      <c r="I30">
        <v>6.5356887000000002E-2</v>
      </c>
      <c r="J30">
        <v>0.19684380200000001</v>
      </c>
      <c r="K30">
        <v>0.17870918599999899</v>
      </c>
      <c r="L30">
        <v>8.9265678000000098E-2</v>
      </c>
      <c r="M30">
        <v>7.92079999999999E-3</v>
      </c>
      <c r="N30">
        <v>0.44856895200000002</v>
      </c>
      <c r="O30">
        <v>3.8467733210000001</v>
      </c>
      <c r="P30" s="1"/>
      <c r="Q30" s="1"/>
      <c r="R30" s="1"/>
      <c r="S30" s="1"/>
      <c r="T30" s="1"/>
      <c r="U30" s="1"/>
    </row>
    <row r="31" spans="1:21" x14ac:dyDescent="0.2">
      <c r="B31" s="1" t="s">
        <v>15</v>
      </c>
      <c r="C31">
        <v>8.6792749000000006E-3</v>
      </c>
      <c r="D31">
        <v>2.1438856493</v>
      </c>
      <c r="E31">
        <v>1.04643991089999</v>
      </c>
      <c r="F31">
        <v>2.9144221599999999E-2</v>
      </c>
      <c r="G31">
        <v>4.44077204999999E-2</v>
      </c>
      <c r="H31">
        <v>3.5823217499999997E-2</v>
      </c>
      <c r="I31">
        <v>6.5841115699999994E-2</v>
      </c>
      <c r="J31">
        <v>0.197287165199999</v>
      </c>
      <c r="K31">
        <v>0.17926428799999999</v>
      </c>
      <c r="L31">
        <v>9.1123510099999999E-2</v>
      </c>
      <c r="M31">
        <v>8.2111835000000001E-3</v>
      </c>
      <c r="N31">
        <v>0.44727900479999999</v>
      </c>
      <c r="O31">
        <v>3.8555177808000001</v>
      </c>
    </row>
    <row r="32" spans="1:21" x14ac:dyDescent="0.2"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5" spans="2:15" x14ac:dyDescent="0.2">
      <c r="B35" s="6" t="s">
        <v>2</v>
      </c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</row>
    <row r="36" spans="2:15" x14ac:dyDescent="0.2">
      <c r="B36" s="1" t="s">
        <v>20</v>
      </c>
      <c r="C36" s="1" t="s">
        <v>4</v>
      </c>
      <c r="D36" s="1" t="s">
        <v>5</v>
      </c>
      <c r="E36" s="1" t="s">
        <v>21</v>
      </c>
      <c r="F36" s="1" t="s">
        <v>22</v>
      </c>
      <c r="G36" s="1" t="s">
        <v>23</v>
      </c>
      <c r="H36" s="1" t="s">
        <v>6</v>
      </c>
      <c r="I36" s="1" t="s">
        <v>7</v>
      </c>
      <c r="J36" s="1" t="s">
        <v>8</v>
      </c>
      <c r="K36" s="1" t="s">
        <v>24</v>
      </c>
      <c r="L36" s="1" t="s">
        <v>25</v>
      </c>
      <c r="M36" s="1" t="s">
        <v>9</v>
      </c>
      <c r="N36" s="1" t="s">
        <v>10</v>
      </c>
      <c r="O36" s="1" t="s">
        <v>11</v>
      </c>
    </row>
    <row r="37" spans="2:15" x14ac:dyDescent="0.2">
      <c r="B37">
        <v>0</v>
      </c>
      <c r="C37">
        <v>8.4000770000000006E-3</v>
      </c>
      <c r="D37">
        <v>2.1429652529999998</v>
      </c>
      <c r="E37">
        <v>1.0458216279999999</v>
      </c>
      <c r="F37">
        <v>2.8840233999999899E-2</v>
      </c>
      <c r="G37">
        <v>4.3852613999999998E-2</v>
      </c>
      <c r="H37">
        <v>3.4411590999999998E-2</v>
      </c>
      <c r="I37">
        <v>6.5662360000000003E-2</v>
      </c>
      <c r="J37">
        <v>0.19572426700000001</v>
      </c>
      <c r="K37">
        <v>0.17901929899999999</v>
      </c>
      <c r="L37">
        <v>9.0485781999999904E-2</v>
      </c>
      <c r="M37">
        <v>7.9370819999999894E-3</v>
      </c>
      <c r="N37">
        <v>0.447175088</v>
      </c>
      <c r="O37">
        <v>3.848184839</v>
      </c>
    </row>
    <row r="38" spans="2:15" x14ac:dyDescent="0.2">
      <c r="B38">
        <v>1</v>
      </c>
      <c r="C38">
        <v>8.8052769999999898E-3</v>
      </c>
      <c r="D38">
        <v>2.14530390799999</v>
      </c>
      <c r="E38">
        <v>1.0468890289999999</v>
      </c>
      <c r="F38">
        <v>2.9338036000000001E-2</v>
      </c>
      <c r="G38">
        <v>4.4225499000000001E-2</v>
      </c>
      <c r="H38">
        <v>3.6324417999999997E-2</v>
      </c>
      <c r="I38">
        <v>6.6038222999999896E-2</v>
      </c>
      <c r="J38">
        <v>0.19673087</v>
      </c>
      <c r="K38">
        <v>0.179513331999999</v>
      </c>
      <c r="L38">
        <v>9.3109204000000001E-2</v>
      </c>
      <c r="M38">
        <v>8.31033799999999E-3</v>
      </c>
      <c r="N38">
        <v>0.44610745899999998</v>
      </c>
      <c r="O38">
        <v>3.8600008080000001</v>
      </c>
    </row>
    <row r="39" spans="2:15" x14ac:dyDescent="0.2">
      <c r="B39">
        <v>2</v>
      </c>
      <c r="C39">
        <v>8.3502980000000095E-3</v>
      </c>
      <c r="D39">
        <v>2.1426786799999999</v>
      </c>
      <c r="E39">
        <v>1.046502421</v>
      </c>
      <c r="F39">
        <v>2.8831888E-2</v>
      </c>
      <c r="G39">
        <v>4.3856658999999902E-2</v>
      </c>
      <c r="H39">
        <v>3.4613827E-2</v>
      </c>
      <c r="I39">
        <v>6.5536709999999901E-2</v>
      </c>
      <c r="J39">
        <v>0.19610198099999901</v>
      </c>
      <c r="K39">
        <v>0.17899960599999901</v>
      </c>
      <c r="L39">
        <v>9.0360463000000099E-2</v>
      </c>
      <c r="M39">
        <v>7.8714719999999905E-3</v>
      </c>
      <c r="N39">
        <v>0.44564756599999999</v>
      </c>
      <c r="O39">
        <v>3.8487302130000001</v>
      </c>
    </row>
    <row r="40" spans="2:15" x14ac:dyDescent="0.2">
      <c r="B40">
        <v>3</v>
      </c>
      <c r="C40">
        <v>8.1442539999999897E-3</v>
      </c>
      <c r="D40">
        <v>2.142299511</v>
      </c>
      <c r="E40">
        <v>1.044927597</v>
      </c>
      <c r="F40">
        <v>2.8615200999999899E-2</v>
      </c>
      <c r="G40">
        <v>4.3571143999999999E-2</v>
      </c>
      <c r="H40">
        <v>3.3932912999999898E-2</v>
      </c>
      <c r="I40">
        <v>6.5123766000000097E-2</v>
      </c>
      <c r="J40">
        <v>0.19539277199999899</v>
      </c>
      <c r="K40">
        <v>0.178704893</v>
      </c>
      <c r="L40">
        <v>8.8986606999999898E-2</v>
      </c>
      <c r="M40">
        <v>7.7025499999999998E-3</v>
      </c>
      <c r="N40">
        <v>0.44426075399999998</v>
      </c>
      <c r="O40">
        <v>3.8423184190000002</v>
      </c>
    </row>
    <row r="41" spans="2:15" x14ac:dyDescent="0.2">
      <c r="B41">
        <v>4</v>
      </c>
      <c r="C41">
        <v>8.5305999999999802E-3</v>
      </c>
      <c r="D41">
        <v>2.1447413019999901</v>
      </c>
      <c r="E41">
        <v>1.0468064699999999</v>
      </c>
      <c r="F41">
        <v>2.8994860000000001E-2</v>
      </c>
      <c r="G41">
        <v>4.3938342999999998E-2</v>
      </c>
      <c r="H41">
        <v>3.6588019999999902E-2</v>
      </c>
      <c r="I41">
        <v>6.5789598999999893E-2</v>
      </c>
      <c r="J41">
        <v>0.19630931799999901</v>
      </c>
      <c r="K41">
        <v>0.179185600999999</v>
      </c>
      <c r="L41">
        <v>9.1448033999999997E-2</v>
      </c>
      <c r="M41">
        <v>8.0687150000000006E-3</v>
      </c>
      <c r="N41">
        <v>0.44986157999999998</v>
      </c>
      <c r="O41">
        <v>3.8556603620000001</v>
      </c>
    </row>
    <row r="42" spans="2:15" x14ac:dyDescent="0.2">
      <c r="B42">
        <v>5</v>
      </c>
      <c r="C42">
        <v>8.9756689999999899E-3</v>
      </c>
      <c r="D42">
        <v>2.1498149610000001</v>
      </c>
      <c r="E42">
        <v>1.0481946799999999</v>
      </c>
      <c r="F42">
        <v>2.9476913E-2</v>
      </c>
      <c r="G42">
        <v>4.4410801999999999E-2</v>
      </c>
      <c r="H42">
        <v>3.6604250999999997E-2</v>
      </c>
      <c r="I42">
        <v>6.6459368999999893E-2</v>
      </c>
      <c r="J42">
        <v>0.196577953999999</v>
      </c>
      <c r="K42">
        <v>0.17987340299999999</v>
      </c>
      <c r="L42">
        <v>9.4217519999999999E-2</v>
      </c>
      <c r="M42">
        <v>8.5014579999999895E-3</v>
      </c>
      <c r="N42">
        <v>0.450419136</v>
      </c>
      <c r="O42">
        <v>3.8685118620000001</v>
      </c>
    </row>
    <row r="43" spans="2:15" x14ac:dyDescent="0.2">
      <c r="B43">
        <v>6</v>
      </c>
      <c r="C43">
        <v>8.1125620000000002E-3</v>
      </c>
      <c r="D43">
        <v>2.1440646159999899</v>
      </c>
      <c r="E43">
        <v>1.0453763279999999</v>
      </c>
      <c r="F43">
        <v>2.8501203999999999E-2</v>
      </c>
      <c r="G43">
        <v>4.3565050999999903E-2</v>
      </c>
      <c r="H43">
        <v>3.3911686999999899E-2</v>
      </c>
      <c r="I43">
        <v>6.5014697999999996E-2</v>
      </c>
      <c r="J43">
        <v>0.195498001</v>
      </c>
      <c r="K43">
        <v>0.17863148399999901</v>
      </c>
      <c r="L43">
        <v>8.8646026999999905E-2</v>
      </c>
      <c r="M43">
        <v>7.6574059999999899E-3</v>
      </c>
      <c r="N43">
        <v>0.44619712</v>
      </c>
      <c r="O43">
        <v>3.843841963</v>
      </c>
    </row>
    <row r="44" spans="2:15" x14ac:dyDescent="0.2">
      <c r="B44">
        <v>7</v>
      </c>
      <c r="C44">
        <v>8.3789589999999897E-3</v>
      </c>
      <c r="D44">
        <v>2.1426985669999898</v>
      </c>
      <c r="E44">
        <v>1.0470271819999999</v>
      </c>
      <c r="F44">
        <v>2.87980789999999E-2</v>
      </c>
      <c r="G44">
        <v>4.3758557999999899E-2</v>
      </c>
      <c r="H44">
        <v>3.4243856999999898E-2</v>
      </c>
      <c r="I44">
        <v>6.5470455999999899E-2</v>
      </c>
      <c r="J44">
        <v>0.195558489</v>
      </c>
      <c r="K44">
        <v>0.17880866599999901</v>
      </c>
      <c r="L44">
        <v>9.0290934000000003E-2</v>
      </c>
      <c r="M44">
        <v>7.8820549999999902E-3</v>
      </c>
      <c r="N44">
        <v>0.44270346999999999</v>
      </c>
      <c r="O44">
        <v>3.8480284079999998</v>
      </c>
    </row>
    <row r="45" spans="2:15" x14ac:dyDescent="0.2">
      <c r="B45">
        <v>8</v>
      </c>
      <c r="C45">
        <v>8.4497140000000005E-3</v>
      </c>
      <c r="D45">
        <v>2.1427912589999898</v>
      </c>
      <c r="E45">
        <v>1.04626323999999</v>
      </c>
      <c r="F45">
        <v>2.89144439999999E-2</v>
      </c>
      <c r="G45">
        <v>4.3923292999999898E-2</v>
      </c>
      <c r="H45">
        <v>3.4649261999999903E-2</v>
      </c>
      <c r="I45">
        <v>6.5646888999999903E-2</v>
      </c>
      <c r="J45">
        <v>0.196094608</v>
      </c>
      <c r="K45">
        <v>0.17915513999999899</v>
      </c>
      <c r="L45">
        <v>9.0807166999999994E-2</v>
      </c>
      <c r="M45">
        <v>7.9819190000000005E-3</v>
      </c>
      <c r="N45">
        <v>0.44629458</v>
      </c>
      <c r="O45">
        <v>3.8496969430000001</v>
      </c>
    </row>
    <row r="46" spans="2:15" x14ac:dyDescent="0.2">
      <c r="B46">
        <v>9</v>
      </c>
      <c r="C46">
        <v>8.1359569999999992E-3</v>
      </c>
      <c r="D46">
        <v>2.1414763859999999</v>
      </c>
      <c r="E46">
        <v>1.045349667</v>
      </c>
      <c r="F46">
        <v>2.852033E-2</v>
      </c>
      <c r="G46">
        <v>4.3578614000000002E-2</v>
      </c>
      <c r="H46">
        <v>3.3931758999999999E-2</v>
      </c>
      <c r="I46">
        <v>6.5062395999999995E-2</v>
      </c>
      <c r="J46">
        <v>0.19533421200000001</v>
      </c>
      <c r="K46">
        <v>0.178658869999999</v>
      </c>
      <c r="L46">
        <v>8.8918884999999906E-2</v>
      </c>
      <c r="M46">
        <v>7.6717809999999999E-3</v>
      </c>
      <c r="N46">
        <v>0.44650904299999999</v>
      </c>
      <c r="O46">
        <v>3.8416101729999999</v>
      </c>
    </row>
    <row r="47" spans="2:15" x14ac:dyDescent="0.2">
      <c r="B47" s="1" t="s">
        <v>15</v>
      </c>
      <c r="C47">
        <v>8.4283367000000005E-3</v>
      </c>
      <c r="D47">
        <v>2.1438834442999899</v>
      </c>
      <c r="E47">
        <v>1.0463158241999999</v>
      </c>
      <c r="F47">
        <v>2.8883118900000001E-2</v>
      </c>
      <c r="G47">
        <v>4.3868057699999997E-2</v>
      </c>
      <c r="H47">
        <v>3.49211585E-2</v>
      </c>
      <c r="I47">
        <v>6.5580446599999995E-2</v>
      </c>
      <c r="J47">
        <v>0.19593224719999999</v>
      </c>
      <c r="K47">
        <v>0.17905502939999901</v>
      </c>
      <c r="L47">
        <v>9.0727062299999994E-2</v>
      </c>
      <c r="M47">
        <v>7.9584775999999892E-3</v>
      </c>
      <c r="N47">
        <v>0.44651757959999899</v>
      </c>
      <c r="O47">
        <v>3.8506583989999998</v>
      </c>
    </row>
  </sheetData>
  <mergeCells count="3">
    <mergeCell ref="C3:O3"/>
    <mergeCell ref="B19:O19"/>
    <mergeCell ref="B35:O3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11A7-FF5C-9946-82AC-26D645B98B8C}">
  <dimension ref="A1:U75"/>
  <sheetViews>
    <sheetView workbookViewId="0">
      <selection activeCell="C15" sqref="C15:O15"/>
    </sheetView>
  </sheetViews>
  <sheetFormatPr baseColWidth="10" defaultRowHeight="16" x14ac:dyDescent="0.2"/>
  <cols>
    <col min="3" max="3" width="16.6640625" bestFit="1" customWidth="1"/>
    <col min="4" max="4" width="21.83203125" bestFit="1" customWidth="1"/>
    <col min="5" max="5" width="15.33203125" bestFit="1" customWidth="1"/>
    <col min="6" max="6" width="18.5" bestFit="1" customWidth="1"/>
    <col min="7" max="7" width="19.5" bestFit="1" customWidth="1"/>
    <col min="8" max="8" width="20.33203125" bestFit="1" customWidth="1"/>
    <col min="9" max="9" width="20.1640625" bestFit="1" customWidth="1"/>
    <col min="10" max="10" width="22.5" bestFit="1" customWidth="1"/>
    <col min="11" max="11" width="12.33203125" bestFit="1" customWidth="1"/>
    <col min="12" max="12" width="15.5" bestFit="1" customWidth="1"/>
    <col min="13" max="13" width="17" bestFit="1" customWidth="1"/>
    <col min="14" max="14" width="15.83203125" bestFit="1" customWidth="1"/>
    <col min="15" max="15" width="21" bestFit="1" customWidth="1"/>
    <col min="16" max="16" width="12.1640625" bestFit="1" customWidth="1"/>
    <col min="17" max="17" width="16.33203125" bestFit="1" customWidth="1"/>
    <col min="18" max="21" width="12.1640625" bestFit="1" customWidth="1"/>
  </cols>
  <sheetData>
    <row r="1" spans="1:15" x14ac:dyDescent="0.2">
      <c r="A1" s="1" t="s">
        <v>0</v>
      </c>
      <c r="B1" s="1" t="s">
        <v>1</v>
      </c>
    </row>
    <row r="2" spans="1:15" x14ac:dyDescent="0.2">
      <c r="A2" t="s">
        <v>3</v>
      </c>
      <c r="B2" t="s">
        <v>35</v>
      </c>
    </row>
    <row r="3" spans="1:15" x14ac:dyDescent="0.2">
      <c r="C3" s="6" t="s">
        <v>2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</row>
    <row r="4" spans="1:15" x14ac:dyDescent="0.2">
      <c r="B4" s="1" t="s">
        <v>14</v>
      </c>
      <c r="C4" s="1" t="s">
        <v>4</v>
      </c>
      <c r="D4" s="1" t="s">
        <v>5</v>
      </c>
      <c r="E4" s="1" t="s">
        <v>21</v>
      </c>
      <c r="F4" s="1" t="s">
        <v>22</v>
      </c>
      <c r="G4" s="1" t="s">
        <v>23</v>
      </c>
      <c r="H4" s="1" t="s">
        <v>6</v>
      </c>
      <c r="I4" s="1" t="s">
        <v>7</v>
      </c>
      <c r="J4" s="1" t="s">
        <v>8</v>
      </c>
      <c r="K4" s="1" t="s">
        <v>24</v>
      </c>
      <c r="L4" s="1" t="s">
        <v>25</v>
      </c>
      <c r="M4" s="1" t="s">
        <v>9</v>
      </c>
      <c r="N4" s="1" t="s">
        <v>10</v>
      </c>
      <c r="O4" s="1" t="s">
        <v>11</v>
      </c>
    </row>
    <row r="5" spans="1:15" x14ac:dyDescent="0.2">
      <c r="B5">
        <v>0</v>
      </c>
      <c r="C5">
        <v>9.2238210000000001E-3</v>
      </c>
      <c r="D5">
        <v>2.1454612769999999</v>
      </c>
      <c r="E5">
        <v>1.0516563049999901</v>
      </c>
      <c r="F5">
        <v>2.9221615999999902E-2</v>
      </c>
      <c r="G5">
        <v>0.34247663499999997</v>
      </c>
      <c r="H5">
        <v>4.1728340000000003E-2</v>
      </c>
      <c r="I5">
        <v>0.216278788</v>
      </c>
      <c r="J5">
        <v>0.27397645899999901</v>
      </c>
      <c r="K5">
        <v>5.6517937619999898</v>
      </c>
      <c r="L5">
        <v>0.106787509</v>
      </c>
      <c r="M5">
        <v>8.6647189999999891E-3</v>
      </c>
      <c r="N5">
        <v>0.409888276</v>
      </c>
      <c r="O5">
        <v>9.883462711</v>
      </c>
    </row>
    <row r="6" spans="1:15" x14ac:dyDescent="0.2">
      <c r="B6">
        <v>1</v>
      </c>
      <c r="C6">
        <v>8.8213099999999798E-3</v>
      </c>
      <c r="D6">
        <v>2.1421423319999899</v>
      </c>
      <c r="E6">
        <v>1.05063932099999</v>
      </c>
      <c r="F6">
        <v>2.8700248000000001E-2</v>
      </c>
      <c r="G6">
        <v>0.34207250900000002</v>
      </c>
      <c r="H6">
        <v>4.04206989999999E-2</v>
      </c>
      <c r="I6">
        <v>0.21562458100000001</v>
      </c>
      <c r="J6">
        <v>0.27376400400000001</v>
      </c>
      <c r="K6">
        <v>5.6498879269999902</v>
      </c>
      <c r="L6">
        <v>0.104134083</v>
      </c>
      <c r="M6">
        <v>8.2644620000000106E-3</v>
      </c>
      <c r="N6">
        <v>0.40716331300000003</v>
      </c>
      <c r="O6">
        <v>9.8703062549999991</v>
      </c>
    </row>
    <row r="7" spans="1:15" x14ac:dyDescent="0.2">
      <c r="B7">
        <v>2</v>
      </c>
      <c r="C7">
        <v>8.7019099999999898E-3</v>
      </c>
      <c r="D7">
        <v>2.146190094</v>
      </c>
      <c r="E7">
        <v>1.05059697799999</v>
      </c>
      <c r="F7">
        <v>2.86407799999999E-2</v>
      </c>
      <c r="G7">
        <v>0.34183645999999901</v>
      </c>
      <c r="H7">
        <v>3.99410659999999E-2</v>
      </c>
      <c r="I7">
        <v>0.21544166100000001</v>
      </c>
      <c r="J7">
        <v>0.27308814999999897</v>
      </c>
      <c r="K7">
        <v>5.6495807469999999</v>
      </c>
      <c r="L7">
        <v>0.10356554900000001</v>
      </c>
      <c r="M7">
        <v>8.1317230000000004E-3</v>
      </c>
      <c r="N7">
        <v>0.410580112</v>
      </c>
      <c r="O7">
        <v>9.8714902850000001</v>
      </c>
    </row>
    <row r="8" spans="1:15" x14ac:dyDescent="0.2">
      <c r="B8">
        <v>3</v>
      </c>
      <c r="C8">
        <v>8.8134660000000007E-3</v>
      </c>
      <c r="D8">
        <v>2.1445977859999901</v>
      </c>
      <c r="E8">
        <v>1.0506353690000001</v>
      </c>
      <c r="F8">
        <v>2.8679191999999999E-2</v>
      </c>
      <c r="G8">
        <v>0.34208853</v>
      </c>
      <c r="H8">
        <v>4.0115194999999902E-2</v>
      </c>
      <c r="I8">
        <v>0.215534111999999</v>
      </c>
      <c r="J8">
        <v>0.273402796</v>
      </c>
      <c r="K8">
        <v>5.6526645519999903</v>
      </c>
      <c r="L8">
        <v>0.104126263999999</v>
      </c>
      <c r="M8">
        <v>8.2795509999999892E-3</v>
      </c>
      <c r="N8">
        <v>0.409504704</v>
      </c>
      <c r="O8">
        <v>9.8746661919999994</v>
      </c>
    </row>
    <row r="9" spans="1:15" x14ac:dyDescent="0.2">
      <c r="B9">
        <v>4</v>
      </c>
      <c r="C9">
        <v>8.8806920000000095E-3</v>
      </c>
      <c r="D9">
        <v>2.1432819489999999</v>
      </c>
      <c r="E9">
        <v>1.050688434</v>
      </c>
      <c r="F9">
        <v>2.88288339999999E-2</v>
      </c>
      <c r="G9">
        <v>0.34219061200000001</v>
      </c>
      <c r="H9">
        <v>4.0747484E-2</v>
      </c>
      <c r="I9">
        <v>0.215774198999999</v>
      </c>
      <c r="J9">
        <v>0.27379258399999901</v>
      </c>
      <c r="K9">
        <v>5.6509795089999901</v>
      </c>
      <c r="L9">
        <v>0.104601579</v>
      </c>
      <c r="M9">
        <v>8.3374049999999904E-3</v>
      </c>
      <c r="N9">
        <v>0.407470206</v>
      </c>
      <c r="O9">
        <v>9.8739246650000005</v>
      </c>
    </row>
    <row r="10" spans="1:15" x14ac:dyDescent="0.2">
      <c r="B10">
        <v>5</v>
      </c>
      <c r="C10">
        <v>8.7753769999999905E-3</v>
      </c>
      <c r="D10">
        <v>2.1419106060000002</v>
      </c>
      <c r="E10">
        <v>1.050872013</v>
      </c>
      <c r="F10">
        <v>2.86891019999999E-2</v>
      </c>
      <c r="G10">
        <v>0.341839854</v>
      </c>
      <c r="H10">
        <v>4.0803000999999901E-2</v>
      </c>
      <c r="I10">
        <v>0.21555595999999899</v>
      </c>
      <c r="J10">
        <v>0.27370473200000001</v>
      </c>
      <c r="K10">
        <v>5.6513828420000003</v>
      </c>
      <c r="L10">
        <v>0.103965061</v>
      </c>
      <c r="M10">
        <v>8.2447639999999895E-3</v>
      </c>
      <c r="N10">
        <v>0.40851436400000002</v>
      </c>
      <c r="O10">
        <v>9.8716005570000007</v>
      </c>
    </row>
    <row r="11" spans="1:15" x14ac:dyDescent="0.2">
      <c r="B11">
        <v>6</v>
      </c>
      <c r="C11">
        <v>8.7669519999999893E-3</v>
      </c>
      <c r="D11">
        <v>2.144591605</v>
      </c>
      <c r="E11">
        <v>1.05036465399999</v>
      </c>
      <c r="F11">
        <v>2.87060559999999E-2</v>
      </c>
      <c r="G11">
        <v>0.34192667700000001</v>
      </c>
      <c r="H11">
        <v>4.0550398999999897E-2</v>
      </c>
      <c r="I11">
        <v>0.21530473</v>
      </c>
      <c r="J11">
        <v>0.27339777799999898</v>
      </c>
      <c r="K11">
        <v>5.6510397719999999</v>
      </c>
      <c r="L11">
        <v>0.105133429</v>
      </c>
      <c r="M11">
        <v>8.1842779999999997E-3</v>
      </c>
      <c r="N11">
        <v>0.408402394</v>
      </c>
      <c r="O11">
        <v>9.8737097229999993</v>
      </c>
    </row>
    <row r="12" spans="1:15" x14ac:dyDescent="0.2">
      <c r="B12">
        <v>7</v>
      </c>
      <c r="C12">
        <v>8.86544500000001E-3</v>
      </c>
      <c r="D12">
        <v>2.1446171509999998</v>
      </c>
      <c r="E12">
        <v>1.0509605900000001</v>
      </c>
      <c r="F12">
        <v>2.8849669000000001E-2</v>
      </c>
      <c r="G12">
        <v>0.34204248199999998</v>
      </c>
      <c r="H12">
        <v>4.0881676999999998E-2</v>
      </c>
      <c r="I12">
        <v>0.21583876599999999</v>
      </c>
      <c r="J12">
        <v>0.27353405199999897</v>
      </c>
      <c r="K12">
        <v>5.6517557009999901</v>
      </c>
      <c r="L12">
        <v>0.104623888999999</v>
      </c>
      <c r="M12">
        <v>8.2933590000000001E-3</v>
      </c>
      <c r="N12">
        <v>0.41031881100000001</v>
      </c>
      <c r="O12">
        <v>9.8760445130000001</v>
      </c>
    </row>
    <row r="13" spans="1:15" x14ac:dyDescent="0.2">
      <c r="B13">
        <v>8</v>
      </c>
      <c r="C13">
        <v>8.7690800000000003E-3</v>
      </c>
      <c r="D13">
        <v>2.1445977819999902</v>
      </c>
      <c r="E13">
        <v>1.05145662599999</v>
      </c>
      <c r="F13">
        <v>2.871481E-2</v>
      </c>
      <c r="G13">
        <v>0.34201204099999899</v>
      </c>
      <c r="H13">
        <v>4.1242968999999997E-2</v>
      </c>
      <c r="I13">
        <v>0.21549020199999899</v>
      </c>
      <c r="J13">
        <v>0.27301318699999999</v>
      </c>
      <c r="K13">
        <v>5.6515534430000001</v>
      </c>
      <c r="L13">
        <v>0.10409658400000001</v>
      </c>
      <c r="M13">
        <v>8.2367339999999904E-3</v>
      </c>
      <c r="N13">
        <v>0.40772982899999999</v>
      </c>
      <c r="O13">
        <v>9.8749333040000007</v>
      </c>
    </row>
    <row r="14" spans="1:15" x14ac:dyDescent="0.2">
      <c r="B14">
        <v>9</v>
      </c>
      <c r="C14">
        <v>8.7176569999999898E-3</v>
      </c>
      <c r="D14">
        <v>2.1446270019999898</v>
      </c>
      <c r="E14">
        <v>1.0503612630000001</v>
      </c>
      <c r="F14">
        <v>2.9996400999999898E-2</v>
      </c>
      <c r="G14">
        <v>0.341911884</v>
      </c>
      <c r="H14">
        <v>4.0055920999999897E-2</v>
      </c>
      <c r="I14">
        <v>0.215448792</v>
      </c>
      <c r="J14">
        <v>0.27374247299999899</v>
      </c>
      <c r="K14">
        <v>5.6516479109999898</v>
      </c>
      <c r="L14">
        <v>0.103552572</v>
      </c>
      <c r="M14">
        <v>8.2261179999999802E-3</v>
      </c>
      <c r="N14">
        <v>0.40777029799999998</v>
      </c>
      <c r="O14">
        <v>9.8740168570000009</v>
      </c>
    </row>
    <row r="15" spans="1:15" x14ac:dyDescent="0.2">
      <c r="B15" s="1" t="s">
        <v>15</v>
      </c>
      <c r="C15">
        <v>8.8335710000000001E-3</v>
      </c>
      <c r="D15">
        <v>2.1442017583999999</v>
      </c>
      <c r="E15">
        <v>1.0508231553</v>
      </c>
      <c r="F15">
        <v>2.8902670799999901E-2</v>
      </c>
      <c r="G15">
        <v>0.3420397684</v>
      </c>
      <c r="H15">
        <v>4.0648675099999899E-2</v>
      </c>
      <c r="I15">
        <v>0.21562917910000001</v>
      </c>
      <c r="J15">
        <v>0.273541621499999</v>
      </c>
      <c r="K15">
        <v>5.6512286165999903</v>
      </c>
      <c r="L15">
        <v>0.1044586519</v>
      </c>
      <c r="M15">
        <v>8.2863112999999895E-3</v>
      </c>
      <c r="N15">
        <v>0.40873423069999998</v>
      </c>
      <c r="O15">
        <v>9.8744155062000001</v>
      </c>
    </row>
    <row r="18" spans="1:21" x14ac:dyDescent="0.2">
      <c r="A18" s="2" t="s">
        <v>36</v>
      </c>
      <c r="B18" t="s">
        <v>37</v>
      </c>
    </row>
    <row r="19" spans="1:21" x14ac:dyDescent="0.2">
      <c r="B19" s="6" t="s">
        <v>2</v>
      </c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"/>
      <c r="Q19" s="1"/>
      <c r="R19" s="1"/>
      <c r="S19" s="1"/>
      <c r="T19" s="1"/>
      <c r="U19" s="1"/>
    </row>
    <row r="20" spans="1:21" x14ac:dyDescent="0.2">
      <c r="B20" s="1" t="s">
        <v>20</v>
      </c>
      <c r="C20" s="1" t="s">
        <v>4</v>
      </c>
      <c r="D20" s="1" t="s">
        <v>5</v>
      </c>
      <c r="E20" s="1" t="s">
        <v>21</v>
      </c>
      <c r="F20" s="1" t="s">
        <v>22</v>
      </c>
      <c r="G20" s="1" t="s">
        <v>23</v>
      </c>
      <c r="H20" s="1" t="s">
        <v>6</v>
      </c>
      <c r="I20" s="1" t="s">
        <v>7</v>
      </c>
      <c r="J20" s="1" t="s">
        <v>8</v>
      </c>
      <c r="K20" s="1" t="s">
        <v>24</v>
      </c>
      <c r="L20" s="1" t="s">
        <v>25</v>
      </c>
      <c r="M20" s="1" t="s">
        <v>9</v>
      </c>
      <c r="N20" s="1" t="s">
        <v>10</v>
      </c>
      <c r="O20" s="1" t="s">
        <v>11</v>
      </c>
    </row>
    <row r="21" spans="1:21" x14ac:dyDescent="0.2">
      <c r="B21">
        <v>0</v>
      </c>
      <c r="C21">
        <v>8.8524940000000007E-3</v>
      </c>
      <c r="D21">
        <v>2.1422444249999901</v>
      </c>
      <c r="E21">
        <v>1.050149843</v>
      </c>
      <c r="F21">
        <v>2.8758729999999899E-2</v>
      </c>
      <c r="G21">
        <v>0.317344179</v>
      </c>
      <c r="H21">
        <v>4.0675863999999999E-2</v>
      </c>
      <c r="I21">
        <v>0.19437626299999999</v>
      </c>
      <c r="J21">
        <v>0.24677234199999901</v>
      </c>
      <c r="K21">
        <v>5.3938925639999997</v>
      </c>
      <c r="L21">
        <v>0.104057070999999</v>
      </c>
      <c r="M21">
        <v>8.2449219999999792E-3</v>
      </c>
      <c r="N21">
        <v>0.41368999200000001</v>
      </c>
      <c r="O21">
        <v>9.5410222400000002</v>
      </c>
    </row>
    <row r="22" spans="1:21" x14ac:dyDescent="0.2">
      <c r="B22">
        <v>1</v>
      </c>
      <c r="C22">
        <v>9.2479899999999993E-3</v>
      </c>
      <c r="D22">
        <v>2.1476457539999898</v>
      </c>
      <c r="E22">
        <v>1.051704354</v>
      </c>
      <c r="F22">
        <v>2.92294759999999E-2</v>
      </c>
      <c r="G22">
        <v>0.31785409199999898</v>
      </c>
      <c r="H22">
        <v>4.1685885999999901E-2</v>
      </c>
      <c r="I22">
        <v>0.19526633299999899</v>
      </c>
      <c r="J22">
        <v>0.24730534300000001</v>
      </c>
      <c r="K22">
        <v>5.3962163929999996</v>
      </c>
      <c r="L22">
        <v>0.107199697</v>
      </c>
      <c r="M22">
        <v>8.7422899999999998E-3</v>
      </c>
      <c r="N22">
        <v>0.40819050499999998</v>
      </c>
      <c r="O22">
        <v>9.5581847080000006</v>
      </c>
    </row>
    <row r="23" spans="1:21" x14ac:dyDescent="0.2">
      <c r="B23">
        <v>2</v>
      </c>
      <c r="C23">
        <v>8.8892139999999908E-3</v>
      </c>
      <c r="D23">
        <v>2.143595988</v>
      </c>
      <c r="E23">
        <v>1.0504977959999899</v>
      </c>
      <c r="F23">
        <v>2.8851192000000001E-2</v>
      </c>
      <c r="G23">
        <v>0.31749067799999903</v>
      </c>
      <c r="H23">
        <v>4.0388660999999999E-2</v>
      </c>
      <c r="I23">
        <v>0.194502759999999</v>
      </c>
      <c r="J23">
        <v>0.247027991</v>
      </c>
      <c r="K23">
        <v>5.392453497</v>
      </c>
      <c r="L23">
        <v>0.104554774999999</v>
      </c>
      <c r="M23">
        <v>8.3498270000000006E-3</v>
      </c>
      <c r="N23">
        <v>0.41212375899999998</v>
      </c>
      <c r="O23">
        <v>9.5425099420000006</v>
      </c>
    </row>
    <row r="24" spans="1:21" x14ac:dyDescent="0.2">
      <c r="B24">
        <v>3</v>
      </c>
      <c r="C24">
        <v>8.9739269999999892E-3</v>
      </c>
      <c r="D24">
        <v>2.14537717599999</v>
      </c>
      <c r="E24">
        <v>1.0512108069999899</v>
      </c>
      <c r="F24">
        <v>2.8906956000000001E-2</v>
      </c>
      <c r="G24">
        <v>0.317620178999999</v>
      </c>
      <c r="H24">
        <v>4.1285048999999997E-2</v>
      </c>
      <c r="I24">
        <v>0.19473054300000001</v>
      </c>
      <c r="J24">
        <v>0.24693316399999901</v>
      </c>
      <c r="K24">
        <v>5.3939925179999904</v>
      </c>
      <c r="L24">
        <v>0.10522208699999901</v>
      </c>
      <c r="M24">
        <v>8.3941089999999899E-3</v>
      </c>
      <c r="N24">
        <v>0.41077903700000001</v>
      </c>
      <c r="O24">
        <v>9.5485373449999997</v>
      </c>
    </row>
    <row r="25" spans="1:21" x14ac:dyDescent="0.2">
      <c r="B25">
        <v>4</v>
      </c>
      <c r="C25">
        <v>8.7378809999999908E-3</v>
      </c>
      <c r="D25">
        <v>2.14281834499999</v>
      </c>
      <c r="E25">
        <v>1.049607304</v>
      </c>
      <c r="F25">
        <v>2.8730077E-2</v>
      </c>
      <c r="G25">
        <v>0.317238506999999</v>
      </c>
      <c r="H25">
        <v>4.0006623999999998E-2</v>
      </c>
      <c r="I25">
        <v>0.19420746899999999</v>
      </c>
      <c r="J25">
        <v>0.246488137999999</v>
      </c>
      <c r="K25">
        <v>5.3917237519999999</v>
      </c>
      <c r="L25">
        <v>0.104023137999999</v>
      </c>
      <c r="M25">
        <v>8.3117119999999902E-3</v>
      </c>
      <c r="N25">
        <v>0.413388859</v>
      </c>
      <c r="O25">
        <v>9.5376050709999998</v>
      </c>
    </row>
    <row r="26" spans="1:21" x14ac:dyDescent="0.2">
      <c r="B26">
        <v>5</v>
      </c>
      <c r="C26">
        <v>8.6925409999999998E-3</v>
      </c>
      <c r="D26">
        <v>2.145319046</v>
      </c>
      <c r="E26">
        <v>1.0503257479999899</v>
      </c>
      <c r="F26">
        <v>2.8601699000000001E-2</v>
      </c>
      <c r="G26">
        <v>0.31744104099999998</v>
      </c>
      <c r="H26">
        <v>3.9334026999999903E-2</v>
      </c>
      <c r="I26">
        <v>0.19432080299999999</v>
      </c>
      <c r="J26">
        <v>0.24644730299999901</v>
      </c>
      <c r="K26">
        <v>5.3947369710000004</v>
      </c>
      <c r="L26">
        <v>0.10377347100000001</v>
      </c>
      <c r="M26">
        <v>8.1790319999999993E-3</v>
      </c>
      <c r="N26">
        <v>0.41054956500000001</v>
      </c>
      <c r="O26">
        <v>9.5427563650000007</v>
      </c>
    </row>
    <row r="27" spans="1:21" x14ac:dyDescent="0.2">
      <c r="B27">
        <v>6</v>
      </c>
      <c r="C27">
        <v>8.8981979999999909E-3</v>
      </c>
      <c r="D27">
        <v>2.1441535649999901</v>
      </c>
      <c r="E27">
        <v>1.05135701799999</v>
      </c>
      <c r="F27">
        <v>2.8891676000000002E-2</v>
      </c>
      <c r="G27">
        <v>0.31751110899999901</v>
      </c>
      <c r="H27">
        <v>4.0701847999999999E-2</v>
      </c>
      <c r="I27">
        <v>0.19457081400000001</v>
      </c>
      <c r="J27">
        <v>0.246747097</v>
      </c>
      <c r="K27">
        <v>5.3927573439999996</v>
      </c>
      <c r="L27">
        <v>0.105015473</v>
      </c>
      <c r="M27">
        <v>8.4158370000000007E-3</v>
      </c>
      <c r="N27">
        <v>0.41166452399999998</v>
      </c>
      <c r="O27">
        <v>9.5448454530000006</v>
      </c>
    </row>
    <row r="28" spans="1:21" x14ac:dyDescent="0.2">
      <c r="B28">
        <v>7</v>
      </c>
      <c r="C28">
        <v>9.0658510000000102E-3</v>
      </c>
      <c r="D28">
        <v>2.1457169269999898</v>
      </c>
      <c r="E28">
        <v>1.051885757</v>
      </c>
      <c r="F28">
        <v>2.9153219000000001E-2</v>
      </c>
      <c r="G28">
        <v>0.31771609699999898</v>
      </c>
      <c r="H28">
        <v>4.1469229000000003E-2</v>
      </c>
      <c r="I28">
        <v>0.194987415</v>
      </c>
      <c r="J28">
        <v>0.24713886800000001</v>
      </c>
      <c r="K28">
        <v>5.3910727510000003</v>
      </c>
      <c r="L28">
        <v>0.106025361999999</v>
      </c>
      <c r="M28">
        <v>8.5745559999999797E-3</v>
      </c>
      <c r="N28">
        <v>0.40736470699999999</v>
      </c>
      <c r="O28">
        <v>9.5487222759999995</v>
      </c>
    </row>
    <row r="29" spans="1:21" x14ac:dyDescent="0.2">
      <c r="B29">
        <v>8</v>
      </c>
      <c r="C29">
        <v>8.9952459999999897E-3</v>
      </c>
      <c r="D29">
        <v>2.143179929</v>
      </c>
      <c r="E29">
        <v>1.0513384539999999</v>
      </c>
      <c r="F29">
        <v>2.8925987E-2</v>
      </c>
      <c r="G29">
        <v>0.31759854100000001</v>
      </c>
      <c r="H29">
        <v>4.1182752000000003E-2</v>
      </c>
      <c r="I29">
        <v>0.194768105</v>
      </c>
      <c r="J29">
        <v>0.24685506400000001</v>
      </c>
      <c r="K29">
        <v>5.3934357559999997</v>
      </c>
      <c r="L29">
        <v>0.106551638</v>
      </c>
      <c r="M29">
        <v>8.4452299999999893E-3</v>
      </c>
      <c r="N29">
        <v>0.407177336</v>
      </c>
      <c r="O29">
        <v>9.5470893819999993</v>
      </c>
    </row>
    <row r="30" spans="1:21" x14ac:dyDescent="0.2">
      <c r="B30">
        <v>9</v>
      </c>
      <c r="C30">
        <v>8.5163409999999898E-3</v>
      </c>
      <c r="D30">
        <v>2.1443859489999899</v>
      </c>
      <c r="E30">
        <v>1.0503638070000001</v>
      </c>
      <c r="F30">
        <v>2.8487240999999899E-2</v>
      </c>
      <c r="G30">
        <v>0.316892958</v>
      </c>
      <c r="H30">
        <v>3.9275880999999999E-2</v>
      </c>
      <c r="I30">
        <v>0.19412824499999901</v>
      </c>
      <c r="J30">
        <v>0.24554499699999899</v>
      </c>
      <c r="K30">
        <v>5.3920164259999996</v>
      </c>
      <c r="L30">
        <v>0.103738477999999</v>
      </c>
      <c r="M30">
        <v>8.0395129999999999E-3</v>
      </c>
      <c r="N30">
        <v>0.40845624699999999</v>
      </c>
      <c r="O30">
        <v>9.5371583379999993</v>
      </c>
      <c r="P30" s="1"/>
      <c r="Q30" s="1"/>
      <c r="R30" s="1"/>
      <c r="S30" s="1"/>
      <c r="T30" s="1"/>
      <c r="U30" s="1"/>
    </row>
    <row r="31" spans="1:21" x14ac:dyDescent="0.2">
      <c r="B31" s="1" t="s">
        <v>15</v>
      </c>
      <c r="C31">
        <v>8.8869682999999904E-3</v>
      </c>
      <c r="D31">
        <v>2.1444437103999898</v>
      </c>
      <c r="E31">
        <v>1.0508440887999999</v>
      </c>
      <c r="F31">
        <v>2.8853625300000001E-2</v>
      </c>
      <c r="G31">
        <v>0.31747073809999898</v>
      </c>
      <c r="H31">
        <v>4.0600582099999998E-2</v>
      </c>
      <c r="I31">
        <v>0.19458587499999999</v>
      </c>
      <c r="J31">
        <v>0.24672603069999999</v>
      </c>
      <c r="K31">
        <v>5.3932297972000001</v>
      </c>
      <c r="L31">
        <v>0.10501611899999901</v>
      </c>
      <c r="M31">
        <v>8.3697027999999896E-3</v>
      </c>
      <c r="N31">
        <v>0.410338453099999</v>
      </c>
      <c r="O31">
        <v>9.5448431119999899</v>
      </c>
    </row>
    <row r="32" spans="1:21" x14ac:dyDescent="0.2"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4" spans="1:15" x14ac:dyDescent="0.2">
      <c r="A34" t="s">
        <v>45</v>
      </c>
      <c r="B34" t="s">
        <v>46</v>
      </c>
    </row>
    <row r="35" spans="1:15" x14ac:dyDescent="0.2">
      <c r="A35" s="1"/>
      <c r="B35" s="6" t="s">
        <v>2</v>
      </c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</row>
    <row r="36" spans="1:15" x14ac:dyDescent="0.2">
      <c r="B36" s="1" t="s">
        <v>20</v>
      </c>
      <c r="C36" s="1" t="s">
        <v>4</v>
      </c>
      <c r="D36" s="1" t="s">
        <v>5</v>
      </c>
      <c r="E36" s="1" t="s">
        <v>21</v>
      </c>
      <c r="F36" s="1" t="s">
        <v>22</v>
      </c>
      <c r="G36" s="1" t="s">
        <v>23</v>
      </c>
      <c r="H36" s="1" t="s">
        <v>6</v>
      </c>
      <c r="I36" s="1" t="s">
        <v>7</v>
      </c>
      <c r="J36" s="1" t="s">
        <v>8</v>
      </c>
      <c r="K36" s="1" t="s">
        <v>24</v>
      </c>
      <c r="L36" s="1" t="s">
        <v>25</v>
      </c>
      <c r="M36" s="1" t="s">
        <v>9</v>
      </c>
      <c r="N36" s="1" t="s">
        <v>10</v>
      </c>
      <c r="O36" s="1" t="s">
        <v>11</v>
      </c>
    </row>
    <row r="37" spans="1:15" x14ac:dyDescent="0.2">
      <c r="B37">
        <v>0</v>
      </c>
      <c r="C37">
        <v>8.2248829999999901E-3</v>
      </c>
      <c r="D37">
        <v>2.1428993279999902</v>
      </c>
      <c r="E37">
        <v>1.047065057</v>
      </c>
      <c r="F37">
        <v>2.8123914E-2</v>
      </c>
      <c r="G37">
        <v>0.25631288699999899</v>
      </c>
      <c r="H37">
        <v>3.5468037000000001E-2</v>
      </c>
      <c r="I37">
        <v>0.207682967</v>
      </c>
      <c r="J37">
        <v>0.26190416500000002</v>
      </c>
      <c r="K37">
        <v>1.1654777089999999</v>
      </c>
      <c r="L37">
        <v>0.102488774</v>
      </c>
      <c r="M37">
        <v>7.7314899999999902E-3</v>
      </c>
      <c r="N37">
        <v>0.40889176399999999</v>
      </c>
      <c r="O37">
        <v>5.2683229200000001</v>
      </c>
    </row>
    <row r="38" spans="1:15" x14ac:dyDescent="0.2">
      <c r="B38">
        <v>1</v>
      </c>
      <c r="C38">
        <v>8.8695699999999898E-3</v>
      </c>
      <c r="D38">
        <v>2.1444454229999899</v>
      </c>
      <c r="E38">
        <v>1.0497586379999899</v>
      </c>
      <c r="F38">
        <v>2.8830992999999999E-2</v>
      </c>
      <c r="G38">
        <v>0.25707892099999902</v>
      </c>
      <c r="H38">
        <v>3.7089578999999998E-2</v>
      </c>
      <c r="I38">
        <v>0.20876961399999899</v>
      </c>
      <c r="J38">
        <v>0.26240644699999899</v>
      </c>
      <c r="K38">
        <v>1.167147835</v>
      </c>
      <c r="L38">
        <v>0.10627952</v>
      </c>
      <c r="M38">
        <v>8.3485339999999995E-3</v>
      </c>
      <c r="N38">
        <v>0.40806809599999999</v>
      </c>
      <c r="O38">
        <v>5.2844603369999996</v>
      </c>
    </row>
    <row r="39" spans="1:15" x14ac:dyDescent="0.2">
      <c r="B39">
        <v>2</v>
      </c>
      <c r="C39">
        <v>9.1063050000000003E-3</v>
      </c>
      <c r="D39">
        <v>2.1456127269999898</v>
      </c>
      <c r="E39">
        <v>1.049441954</v>
      </c>
      <c r="F39">
        <v>2.9145763000000002E-2</v>
      </c>
      <c r="G39">
        <v>0.258766423999999</v>
      </c>
      <c r="H39">
        <v>3.8502841999999898E-2</v>
      </c>
      <c r="I39">
        <v>0.20938159200000001</v>
      </c>
      <c r="J39">
        <v>0.26291896199999998</v>
      </c>
      <c r="K39">
        <v>1.1672040609999901</v>
      </c>
      <c r="L39">
        <v>0.10780448300000001</v>
      </c>
      <c r="M39">
        <v>8.5856460000000006E-3</v>
      </c>
      <c r="N39">
        <v>0.41230140300000001</v>
      </c>
      <c r="O39">
        <v>5.2920887099999998</v>
      </c>
    </row>
    <row r="40" spans="1:15" x14ac:dyDescent="0.2">
      <c r="B40">
        <v>3</v>
      </c>
      <c r="C40">
        <v>8.4356159999999895E-3</v>
      </c>
      <c r="D40">
        <v>2.1426706800000002</v>
      </c>
      <c r="E40">
        <v>1.04833966099999</v>
      </c>
      <c r="F40">
        <v>2.8340579000000001E-2</v>
      </c>
      <c r="G40">
        <v>0.25656539</v>
      </c>
      <c r="H40">
        <v>3.5644468999999901E-2</v>
      </c>
      <c r="I40">
        <v>0.20798176099999899</v>
      </c>
      <c r="J40">
        <v>0.26189199800000001</v>
      </c>
      <c r="K40">
        <v>1.1662115040000001</v>
      </c>
      <c r="L40">
        <v>0.10360055899999999</v>
      </c>
      <c r="M40">
        <v>7.9423699999999903E-3</v>
      </c>
      <c r="N40">
        <v>0.408605581</v>
      </c>
      <c r="O40">
        <v>5.2728190980000003</v>
      </c>
    </row>
    <row r="41" spans="1:15" x14ac:dyDescent="0.2">
      <c r="B41">
        <v>4</v>
      </c>
      <c r="C41">
        <v>8.6019500000000092E-3</v>
      </c>
      <c r="D41">
        <v>2.1471729639999899</v>
      </c>
      <c r="E41">
        <v>1.0479767099999899</v>
      </c>
      <c r="F41">
        <v>2.85749649999999E-2</v>
      </c>
      <c r="G41">
        <v>0.25683124799999901</v>
      </c>
      <c r="H41">
        <v>3.6500505000000003E-2</v>
      </c>
      <c r="I41">
        <v>0.208417036</v>
      </c>
      <c r="J41">
        <v>0.26342478400000002</v>
      </c>
      <c r="K41">
        <v>1.16629417499999</v>
      </c>
      <c r="L41">
        <v>0.10483469500000001</v>
      </c>
      <c r="M41">
        <v>8.1388199999999893E-3</v>
      </c>
      <c r="N41">
        <v>0.40733520099999998</v>
      </c>
      <c r="O41">
        <v>5.2820570260000004</v>
      </c>
    </row>
    <row r="42" spans="1:15" x14ac:dyDescent="0.2">
      <c r="B42">
        <v>5</v>
      </c>
      <c r="C42">
        <v>8.4114519999999998E-3</v>
      </c>
      <c r="D42">
        <v>2.1432482609999899</v>
      </c>
      <c r="E42">
        <v>1.04675716199999</v>
      </c>
      <c r="F42">
        <v>2.8397773000000001E-2</v>
      </c>
      <c r="G42">
        <v>0.25653232799999898</v>
      </c>
      <c r="H42">
        <v>3.5645045999999903E-2</v>
      </c>
      <c r="I42">
        <v>0.20791593899999899</v>
      </c>
      <c r="J42">
        <v>0.26239985699999901</v>
      </c>
      <c r="K42">
        <v>1.1656912049999899</v>
      </c>
      <c r="L42">
        <v>0.103526836999999</v>
      </c>
      <c r="M42">
        <v>7.9094830000000001E-3</v>
      </c>
      <c r="N42">
        <v>0.41058616799999997</v>
      </c>
      <c r="O42">
        <v>5.2715314360000001</v>
      </c>
    </row>
    <row r="43" spans="1:15" x14ac:dyDescent="0.2">
      <c r="B43">
        <v>6</v>
      </c>
      <c r="C43">
        <v>8.2341210000000005E-3</v>
      </c>
      <c r="D43">
        <v>2.1436056379999902</v>
      </c>
      <c r="E43">
        <v>1.04680217899999</v>
      </c>
      <c r="F43">
        <v>2.81360869999999E-2</v>
      </c>
      <c r="G43">
        <v>0.25643026200000002</v>
      </c>
      <c r="H43">
        <v>3.5230483E-2</v>
      </c>
      <c r="I43">
        <v>0.20777041999999901</v>
      </c>
      <c r="J43">
        <v>0.263305287</v>
      </c>
      <c r="K43">
        <v>1.1656928419999999</v>
      </c>
      <c r="L43">
        <v>0.10238382</v>
      </c>
      <c r="M43">
        <v>7.7664739999999902E-3</v>
      </c>
      <c r="N43">
        <v>0.408178867</v>
      </c>
      <c r="O43">
        <v>5.270346387</v>
      </c>
    </row>
    <row r="44" spans="1:15" x14ac:dyDescent="0.2">
      <c r="B44">
        <v>7</v>
      </c>
      <c r="C44">
        <v>8.4411899999999995E-3</v>
      </c>
      <c r="D44">
        <v>2.1434772419999999</v>
      </c>
      <c r="E44">
        <v>1.047105127</v>
      </c>
      <c r="F44">
        <v>2.8411197999999901E-2</v>
      </c>
      <c r="G44">
        <v>0.25664897199999998</v>
      </c>
      <c r="H44">
        <v>3.6524411E-2</v>
      </c>
      <c r="I44">
        <v>0.208019547999999</v>
      </c>
      <c r="J44">
        <v>0.26207840799999899</v>
      </c>
      <c r="K44">
        <v>1.16626182899999</v>
      </c>
      <c r="L44">
        <v>0.10362484600000001</v>
      </c>
      <c r="M44">
        <v>7.9714969999999906E-3</v>
      </c>
      <c r="N44">
        <v>0.41346375299999999</v>
      </c>
      <c r="O44">
        <v>5.2736735140000004</v>
      </c>
    </row>
    <row r="45" spans="1:15" x14ac:dyDescent="0.2">
      <c r="B45">
        <v>8</v>
      </c>
      <c r="C45">
        <v>8.3408599999999899E-3</v>
      </c>
      <c r="D45">
        <v>2.1422570219999999</v>
      </c>
      <c r="E45">
        <v>1.047308583</v>
      </c>
      <c r="F45">
        <v>2.82870499999999E-2</v>
      </c>
      <c r="G45">
        <v>0.25651247099999902</v>
      </c>
      <c r="H45">
        <v>3.5912723999999903E-2</v>
      </c>
      <c r="I45">
        <v>0.20784757300000001</v>
      </c>
      <c r="J45">
        <v>0.262067156999999</v>
      </c>
      <c r="K45">
        <v>1.1654395310000001</v>
      </c>
      <c r="L45">
        <v>0.10323608300000001</v>
      </c>
      <c r="M45">
        <v>7.8688490000000007E-3</v>
      </c>
      <c r="N45">
        <v>0.40880000300000002</v>
      </c>
      <c r="O45">
        <v>5.2701200349999997</v>
      </c>
    </row>
    <row r="46" spans="1:15" x14ac:dyDescent="0.2">
      <c r="B46">
        <v>9</v>
      </c>
      <c r="C46">
        <v>8.2477999999999892E-3</v>
      </c>
      <c r="D46">
        <v>2.1441977009999902</v>
      </c>
      <c r="E46">
        <v>1.0470544339999901</v>
      </c>
      <c r="F46">
        <v>2.8119954999999999E-2</v>
      </c>
      <c r="G46">
        <v>0.25626230999999999</v>
      </c>
      <c r="H46">
        <v>3.5394214E-2</v>
      </c>
      <c r="I46">
        <v>0.20770212899999899</v>
      </c>
      <c r="J46">
        <v>0.26185229300000001</v>
      </c>
      <c r="K46">
        <v>1.165167101</v>
      </c>
      <c r="L46">
        <v>0.102692456999999</v>
      </c>
      <c r="M46">
        <v>7.7833119999999902E-3</v>
      </c>
      <c r="N46">
        <v>0.40966228100000002</v>
      </c>
      <c r="O46">
        <v>5.2694004579999998</v>
      </c>
    </row>
    <row r="47" spans="1:15" x14ac:dyDescent="0.2">
      <c r="B47" s="1" t="s">
        <v>15</v>
      </c>
      <c r="C47" s="7">
        <v>8.4913699999999998E-3</v>
      </c>
      <c r="D47" s="7">
        <v>2.1439587000000002</v>
      </c>
      <c r="E47" s="7">
        <v>1.04776095</v>
      </c>
      <c r="F47" s="7">
        <v>2.843683E-2</v>
      </c>
      <c r="G47" s="7">
        <v>0.25679412000000001</v>
      </c>
      <c r="H47" s="7">
        <v>3.6191229999999998E-2</v>
      </c>
      <c r="I47" s="7">
        <v>0.20814885999999999</v>
      </c>
      <c r="J47" s="7">
        <v>0.26242494</v>
      </c>
      <c r="K47" s="7">
        <v>1.16605878</v>
      </c>
      <c r="L47" s="7">
        <v>0.10404721</v>
      </c>
      <c r="M47" s="7">
        <v>8.0046500000000003E-3</v>
      </c>
      <c r="N47" s="7">
        <v>0.40958930999999998</v>
      </c>
      <c r="O47" s="7">
        <v>5.2754819900000003</v>
      </c>
    </row>
    <row r="50" spans="4:11" x14ac:dyDescent="0.2">
      <c r="D50" s="5"/>
      <c r="E50" s="5"/>
      <c r="F50" s="5"/>
      <c r="G50" s="5"/>
      <c r="H50" s="5"/>
      <c r="I50" s="5"/>
      <c r="J50" s="5"/>
      <c r="K50" s="5"/>
    </row>
    <row r="51" spans="4:11" x14ac:dyDescent="0.2">
      <c r="D51" s="5"/>
      <c r="F51" s="5"/>
      <c r="G51" s="5"/>
      <c r="I51" s="5"/>
      <c r="J51" s="5"/>
      <c r="K51" s="5"/>
    </row>
    <row r="52" spans="4:11" x14ac:dyDescent="0.2">
      <c r="D52" s="5"/>
      <c r="E52" s="5"/>
      <c r="F52" s="5"/>
      <c r="G52" s="5"/>
      <c r="I52" s="5"/>
      <c r="J52" s="5"/>
      <c r="K52" s="5"/>
    </row>
    <row r="53" spans="4:11" x14ac:dyDescent="0.2">
      <c r="D53" s="5"/>
      <c r="E53" s="5"/>
      <c r="I53" s="5"/>
      <c r="J53" s="5"/>
      <c r="K53" s="5"/>
    </row>
    <row r="54" spans="4:11" x14ac:dyDescent="0.2">
      <c r="D54" s="5"/>
      <c r="E54" s="5"/>
      <c r="G54" s="5"/>
      <c r="H54" s="5"/>
      <c r="I54" s="5"/>
      <c r="J54" s="5"/>
      <c r="K54" s="5"/>
    </row>
    <row r="55" spans="4:11" x14ac:dyDescent="0.2">
      <c r="D55" s="5"/>
      <c r="E55" s="5"/>
      <c r="F55" s="5"/>
      <c r="G55" s="5"/>
      <c r="I55" s="5"/>
      <c r="J55" s="5"/>
      <c r="K55" s="5"/>
    </row>
    <row r="56" spans="4:11" x14ac:dyDescent="0.2">
      <c r="D56" s="5"/>
      <c r="E56" s="5"/>
      <c r="G56" s="5"/>
      <c r="H56" s="5"/>
      <c r="I56" s="5"/>
      <c r="J56" s="5"/>
    </row>
    <row r="57" spans="4:11" x14ac:dyDescent="0.2">
      <c r="D57" s="5"/>
      <c r="E57" s="5"/>
      <c r="F57" s="5"/>
      <c r="I57" s="5"/>
      <c r="J57" s="5"/>
      <c r="K57" s="5"/>
    </row>
    <row r="58" spans="4:11" x14ac:dyDescent="0.2">
      <c r="D58" s="5"/>
      <c r="E58" s="5"/>
      <c r="F58" s="5"/>
      <c r="G58" s="5"/>
      <c r="H58" s="5"/>
      <c r="I58" s="5"/>
      <c r="K58" s="5"/>
    </row>
    <row r="59" spans="4:11" x14ac:dyDescent="0.2">
      <c r="D59" s="5"/>
      <c r="E59" s="5"/>
      <c r="F59" s="5"/>
      <c r="G59" s="5"/>
      <c r="H59" s="5"/>
      <c r="I59" s="5"/>
      <c r="K59" s="5"/>
    </row>
    <row r="75" spans="1:1" x14ac:dyDescent="0.2">
      <c r="A75" t="s">
        <v>38</v>
      </c>
    </row>
  </sheetData>
  <mergeCells count="3">
    <mergeCell ref="C3:O3"/>
    <mergeCell ref="B19:O19"/>
    <mergeCell ref="B35:O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Summary_Results</vt:lpstr>
      <vt:lpstr>Trackslot_Xorwow</vt:lpstr>
      <vt:lpstr>Trackslot_Ranluxpp</vt:lpstr>
      <vt:lpstr>Track_Xorwow</vt:lpstr>
      <vt:lpstr>Track_Ranluxpp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Davidson, Gregory</dc:creator>
  <cp:lastModifiedBy>Davidson, Gregory</cp:lastModifiedBy>
  <dcterms:created xsi:type="dcterms:W3CDTF">2026-05-14T19:40:53Z</dcterms:created>
  <dcterms:modified xsi:type="dcterms:W3CDTF">2026-07-20T19:19:18Z</dcterms:modified>
</cp:coreProperties>
</file>